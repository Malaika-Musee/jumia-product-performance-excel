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pivotTables/pivotTable11.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esktop\New folder\CLEANED DATA, ANALYSIS AND DASHBOARD\"/>
    </mc:Choice>
  </mc:AlternateContent>
  <xr:revisionPtr revIDLastSave="0" documentId="8_{D846B6C1-7244-43DA-ACD1-AE99C64E45F8}" xr6:coauthVersionLast="47" xr6:coauthVersionMax="47" xr10:uidLastSave="{00000000-0000-0000-0000-000000000000}"/>
  <bookViews>
    <workbookView xWindow="-110" yWindow="-110" windowWidth="19420" windowHeight="10300" tabRatio="1000" activeTab="1" xr2:uid="{DBA0A449-3EEE-42CB-902A-A8AFBBEF7965}"/>
  </bookViews>
  <sheets>
    <sheet name="Raw data" sheetId="15" r:id="rId1"/>
    <sheet name="Cleaned data" sheetId="1" r:id="rId2"/>
    <sheet name="Dashboard" sheetId="16" r:id="rId3"/>
    <sheet name="Discount vs Reviews" sheetId="4" r:id="rId4"/>
    <sheet name="Rating vs Reviews" sheetId="7" r:id="rId5"/>
    <sheet name="Price vs Rating" sheetId="9" r:id="rId6"/>
    <sheet name="Top 10 reviews, discounts " sheetId="17" r:id="rId7"/>
    <sheet name="Top,Bottom rated products" sheetId="10" r:id="rId8"/>
    <sheet name="Product Perfromance Analysis" sheetId="12" r:id="rId9"/>
    <sheet name="High discount,low rating pdts" sheetId="13" r:id="rId10"/>
    <sheet name="Product customer engagement" sheetId="14" r:id="rId11"/>
  </sheets>
  <definedNames>
    <definedName name="_xlnm._FilterDatabase" localSheetId="1" hidden="1">'Cleaned data'!$A$1:$J$124</definedName>
    <definedName name="_xlnm._FilterDatabase" localSheetId="8" hidden="1">'Product Perfromance Analysis'!$A$6:$J$122</definedName>
    <definedName name="Slicer_Discount_category">#N/A</definedName>
    <definedName name="Slicer_Price_category">#N/A</definedName>
    <definedName name="Slicer_Rating_category">#N/A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1" l="1"/>
  <c r="J7" i="1"/>
  <c r="G7" i="1"/>
  <c r="B129" i="12"/>
  <c r="B128" i="12"/>
  <c r="B127" i="12"/>
  <c r="B125" i="12"/>
  <c r="B124" i="12"/>
  <c r="B123" i="12"/>
  <c r="J122" i="12"/>
  <c r="G122" i="12"/>
  <c r="B122" i="12"/>
  <c r="E122" i="12" s="1"/>
  <c r="J118" i="12"/>
  <c r="G118" i="12"/>
  <c r="E118" i="12"/>
  <c r="D118" i="12"/>
  <c r="J117" i="12"/>
  <c r="G117" i="12"/>
  <c r="E117" i="12"/>
  <c r="D117" i="12"/>
  <c r="J116" i="12"/>
  <c r="G116" i="12"/>
  <c r="E116" i="12"/>
  <c r="D116" i="12"/>
  <c r="J115" i="12"/>
  <c r="G115" i="12"/>
  <c r="E115" i="12"/>
  <c r="D115" i="12"/>
  <c r="J114" i="12"/>
  <c r="G114" i="12"/>
  <c r="E114" i="12"/>
  <c r="D114" i="12"/>
  <c r="J113" i="12"/>
  <c r="G113" i="12"/>
  <c r="E113" i="12"/>
  <c r="D113" i="12"/>
  <c r="J112" i="12"/>
  <c r="G112" i="12"/>
  <c r="E112" i="12"/>
  <c r="D112" i="12"/>
  <c r="J111" i="12"/>
  <c r="G111" i="12"/>
  <c r="E111" i="12"/>
  <c r="D111" i="12"/>
  <c r="J110" i="12"/>
  <c r="G110" i="12"/>
  <c r="E110" i="12"/>
  <c r="D110" i="12"/>
  <c r="J109" i="12"/>
  <c r="G109" i="12"/>
  <c r="E109" i="12"/>
  <c r="D109" i="12"/>
  <c r="J108" i="12"/>
  <c r="G108" i="12"/>
  <c r="E108" i="12"/>
  <c r="D108" i="12"/>
  <c r="J107" i="12"/>
  <c r="G107" i="12"/>
  <c r="E107" i="12"/>
  <c r="D107" i="12"/>
  <c r="J106" i="12"/>
  <c r="G106" i="12"/>
  <c r="E106" i="12"/>
  <c r="D106" i="12"/>
  <c r="J105" i="12"/>
  <c r="G105" i="12"/>
  <c r="E105" i="12"/>
  <c r="D105" i="12"/>
  <c r="J104" i="12"/>
  <c r="G104" i="12"/>
  <c r="E104" i="12"/>
  <c r="D104" i="12"/>
  <c r="J103" i="12"/>
  <c r="G103" i="12"/>
  <c r="E103" i="12"/>
  <c r="D103" i="12"/>
  <c r="J102" i="12"/>
  <c r="G102" i="12"/>
  <c r="E102" i="12"/>
  <c r="D102" i="12"/>
  <c r="J101" i="12"/>
  <c r="G101" i="12"/>
  <c r="E101" i="12"/>
  <c r="D101" i="12"/>
  <c r="J100" i="12"/>
  <c r="G100" i="12"/>
  <c r="E100" i="12"/>
  <c r="D100" i="12"/>
  <c r="J99" i="12"/>
  <c r="G99" i="12"/>
  <c r="E99" i="12"/>
  <c r="D99" i="12"/>
  <c r="J98" i="12"/>
  <c r="G98" i="12"/>
  <c r="E98" i="12"/>
  <c r="D98" i="12"/>
  <c r="J97" i="12"/>
  <c r="G97" i="12"/>
  <c r="E97" i="12"/>
  <c r="D97" i="12"/>
  <c r="J96" i="12"/>
  <c r="G96" i="12"/>
  <c r="E96" i="12"/>
  <c r="D96" i="12"/>
  <c r="J95" i="12"/>
  <c r="G95" i="12"/>
  <c r="E95" i="12"/>
  <c r="D95" i="12"/>
  <c r="J94" i="12"/>
  <c r="G94" i="12"/>
  <c r="E94" i="12"/>
  <c r="D94" i="12"/>
  <c r="J93" i="12"/>
  <c r="G93" i="12"/>
  <c r="E93" i="12"/>
  <c r="D93" i="12"/>
  <c r="J92" i="12"/>
  <c r="G92" i="12"/>
  <c r="E92" i="12"/>
  <c r="D92" i="12"/>
  <c r="J91" i="12"/>
  <c r="G91" i="12"/>
  <c r="E91" i="12"/>
  <c r="D91" i="12"/>
  <c r="J90" i="12"/>
  <c r="G90" i="12"/>
  <c r="E90" i="12"/>
  <c r="D90" i="12"/>
  <c r="J89" i="12"/>
  <c r="G89" i="12"/>
  <c r="E89" i="12"/>
  <c r="D89" i="12"/>
  <c r="J88" i="12"/>
  <c r="G88" i="12"/>
  <c r="E88" i="12"/>
  <c r="D88" i="12"/>
  <c r="J87" i="12"/>
  <c r="G87" i="12"/>
  <c r="E87" i="12"/>
  <c r="D87" i="12"/>
  <c r="J86" i="12"/>
  <c r="G86" i="12"/>
  <c r="E86" i="12"/>
  <c r="D86" i="12"/>
  <c r="J85" i="12"/>
  <c r="G85" i="12"/>
  <c r="E85" i="12"/>
  <c r="D85" i="12"/>
  <c r="J84" i="12"/>
  <c r="G84" i="12"/>
  <c r="E84" i="12"/>
  <c r="D84" i="12"/>
  <c r="J83" i="12"/>
  <c r="G83" i="12"/>
  <c r="E83" i="12"/>
  <c r="D83" i="12"/>
  <c r="J82" i="12"/>
  <c r="G82" i="12"/>
  <c r="E82" i="12"/>
  <c r="D82" i="12"/>
  <c r="J81" i="12"/>
  <c r="G81" i="12"/>
  <c r="E81" i="12"/>
  <c r="D81" i="12"/>
  <c r="J80" i="12"/>
  <c r="G80" i="12"/>
  <c r="E80" i="12"/>
  <c r="D80" i="12"/>
  <c r="J79" i="12"/>
  <c r="G79" i="12"/>
  <c r="E79" i="12"/>
  <c r="D79" i="12"/>
  <c r="J78" i="12"/>
  <c r="G78" i="12"/>
  <c r="E78" i="12"/>
  <c r="D78" i="12"/>
  <c r="J77" i="12"/>
  <c r="G77" i="12"/>
  <c r="E77" i="12"/>
  <c r="D77" i="12"/>
  <c r="J76" i="12"/>
  <c r="G76" i="12"/>
  <c r="E76" i="12"/>
  <c r="D76" i="12"/>
  <c r="J75" i="12"/>
  <c r="G75" i="12"/>
  <c r="E75" i="12"/>
  <c r="D75" i="12"/>
  <c r="J74" i="12"/>
  <c r="G74" i="12"/>
  <c r="E74" i="12"/>
  <c r="D74" i="12"/>
  <c r="J73" i="12"/>
  <c r="G73" i="12"/>
  <c r="E73" i="12"/>
  <c r="D73" i="12"/>
  <c r="J72" i="12"/>
  <c r="G72" i="12"/>
  <c r="E72" i="12"/>
  <c r="D72" i="12"/>
  <c r="J71" i="12"/>
  <c r="G71" i="12"/>
  <c r="E71" i="12"/>
  <c r="D71" i="12"/>
  <c r="J70" i="12"/>
  <c r="G70" i="12"/>
  <c r="E70" i="12"/>
  <c r="D70" i="12"/>
  <c r="J69" i="12"/>
  <c r="G69" i="12"/>
  <c r="E69" i="12"/>
  <c r="D69" i="12"/>
  <c r="J68" i="12"/>
  <c r="G68" i="12"/>
  <c r="E68" i="12"/>
  <c r="D68" i="12"/>
  <c r="J67" i="12"/>
  <c r="G67" i="12"/>
  <c r="E67" i="12"/>
  <c r="D67" i="12"/>
  <c r="J66" i="12"/>
  <c r="G66" i="12"/>
  <c r="E66" i="12"/>
  <c r="D66" i="12"/>
  <c r="J65" i="12"/>
  <c r="G65" i="12"/>
  <c r="E65" i="12"/>
  <c r="D65" i="12"/>
  <c r="J64" i="12"/>
  <c r="G64" i="12"/>
  <c r="E64" i="12"/>
  <c r="D64" i="12"/>
  <c r="J63" i="12"/>
  <c r="G63" i="12"/>
  <c r="E63" i="12"/>
  <c r="D63" i="12"/>
  <c r="J62" i="12"/>
  <c r="G62" i="12"/>
  <c r="E62" i="12"/>
  <c r="D62" i="12"/>
  <c r="J61" i="12"/>
  <c r="G61" i="12"/>
  <c r="E61" i="12"/>
  <c r="D61" i="12"/>
  <c r="J60" i="12"/>
  <c r="G60" i="12"/>
  <c r="E60" i="12"/>
  <c r="D60" i="12"/>
  <c r="J59" i="12"/>
  <c r="G59" i="12"/>
  <c r="E59" i="12"/>
  <c r="D59" i="12"/>
  <c r="J58" i="12"/>
  <c r="G58" i="12"/>
  <c r="E58" i="12"/>
  <c r="D58" i="12"/>
  <c r="J57" i="12"/>
  <c r="G57" i="12"/>
  <c r="E57" i="12"/>
  <c r="D57" i="12"/>
  <c r="J56" i="12"/>
  <c r="G56" i="12"/>
  <c r="E56" i="12"/>
  <c r="D56" i="12"/>
  <c r="J55" i="12"/>
  <c r="G55" i="12"/>
  <c r="E55" i="12"/>
  <c r="D55" i="12"/>
  <c r="J54" i="12"/>
  <c r="G54" i="12"/>
  <c r="E54" i="12"/>
  <c r="D54" i="12"/>
  <c r="J53" i="12"/>
  <c r="G53" i="12"/>
  <c r="E53" i="12"/>
  <c r="D53" i="12"/>
  <c r="J52" i="12"/>
  <c r="G52" i="12"/>
  <c r="E52" i="12"/>
  <c r="D52" i="12"/>
  <c r="J51" i="12"/>
  <c r="G51" i="12"/>
  <c r="E51" i="12"/>
  <c r="D51" i="12"/>
  <c r="J50" i="12"/>
  <c r="G50" i="12"/>
  <c r="E50" i="12"/>
  <c r="D50" i="12"/>
  <c r="J49" i="12"/>
  <c r="G49" i="12"/>
  <c r="E49" i="12"/>
  <c r="D49" i="12"/>
  <c r="J48" i="12"/>
  <c r="G48" i="12"/>
  <c r="E48" i="12"/>
  <c r="D48" i="12"/>
  <c r="J47" i="12"/>
  <c r="G47" i="12"/>
  <c r="E47" i="12"/>
  <c r="D47" i="12"/>
  <c r="J46" i="12"/>
  <c r="G46" i="12"/>
  <c r="E46" i="12"/>
  <c r="D46" i="12"/>
  <c r="J45" i="12"/>
  <c r="G45" i="12"/>
  <c r="E45" i="12"/>
  <c r="D45" i="12"/>
  <c r="J44" i="12"/>
  <c r="G44" i="12"/>
  <c r="E44" i="12"/>
  <c r="D44" i="12"/>
  <c r="J43" i="12"/>
  <c r="G43" i="12"/>
  <c r="E43" i="12"/>
  <c r="D43" i="12"/>
  <c r="J42" i="12"/>
  <c r="G42" i="12"/>
  <c r="E42" i="12"/>
  <c r="D42" i="12"/>
  <c r="J41" i="12"/>
  <c r="G41" i="12"/>
  <c r="E41" i="12"/>
  <c r="D41" i="12"/>
  <c r="J40" i="12"/>
  <c r="G40" i="12"/>
  <c r="E40" i="12"/>
  <c r="D40" i="12"/>
  <c r="J39" i="12"/>
  <c r="G39" i="12"/>
  <c r="E39" i="12"/>
  <c r="D39" i="12"/>
  <c r="J38" i="12"/>
  <c r="G38" i="12"/>
  <c r="E38" i="12"/>
  <c r="D38" i="12"/>
  <c r="J37" i="12"/>
  <c r="G37" i="12"/>
  <c r="E37" i="12"/>
  <c r="D37" i="12"/>
  <c r="J36" i="12"/>
  <c r="G36" i="12"/>
  <c r="E36" i="12"/>
  <c r="D36" i="12"/>
  <c r="J35" i="12"/>
  <c r="G35" i="12"/>
  <c r="E35" i="12"/>
  <c r="D35" i="12"/>
  <c r="J34" i="12"/>
  <c r="G34" i="12"/>
  <c r="E34" i="12"/>
  <c r="D34" i="12"/>
  <c r="J33" i="12"/>
  <c r="G33" i="12"/>
  <c r="E33" i="12"/>
  <c r="D33" i="12"/>
  <c r="J32" i="12"/>
  <c r="G32" i="12"/>
  <c r="E32" i="12"/>
  <c r="D32" i="12"/>
  <c r="J31" i="12"/>
  <c r="G31" i="12"/>
  <c r="E31" i="12"/>
  <c r="D31" i="12"/>
  <c r="J30" i="12"/>
  <c r="G30" i="12"/>
  <c r="E30" i="12"/>
  <c r="D30" i="12"/>
  <c r="J29" i="12"/>
  <c r="G29" i="12"/>
  <c r="E29" i="12"/>
  <c r="D29" i="12"/>
  <c r="J28" i="12"/>
  <c r="G28" i="12"/>
  <c r="E28" i="12"/>
  <c r="D28" i="12"/>
  <c r="J27" i="12"/>
  <c r="G27" i="12"/>
  <c r="E27" i="12"/>
  <c r="D27" i="12"/>
  <c r="J26" i="12"/>
  <c r="G26" i="12"/>
  <c r="E26" i="12"/>
  <c r="D26" i="12"/>
  <c r="J25" i="12"/>
  <c r="G25" i="12"/>
  <c r="E25" i="12"/>
  <c r="D25" i="12"/>
  <c r="J24" i="12"/>
  <c r="G24" i="12"/>
  <c r="E24" i="12"/>
  <c r="D24" i="12"/>
  <c r="J23" i="12"/>
  <c r="G23" i="12"/>
  <c r="E23" i="12"/>
  <c r="D23" i="12"/>
  <c r="J22" i="12"/>
  <c r="G22" i="12"/>
  <c r="E22" i="12"/>
  <c r="D22" i="12"/>
  <c r="J21" i="12"/>
  <c r="G21" i="12"/>
  <c r="E21" i="12"/>
  <c r="D21" i="12"/>
  <c r="J20" i="12"/>
  <c r="G20" i="12"/>
  <c r="E20" i="12"/>
  <c r="D20" i="12"/>
  <c r="J19" i="12"/>
  <c r="G19" i="12"/>
  <c r="E19" i="12"/>
  <c r="D19" i="12"/>
  <c r="J18" i="12"/>
  <c r="G18" i="12"/>
  <c r="E18" i="12"/>
  <c r="D18" i="12"/>
  <c r="J17" i="12"/>
  <c r="G17" i="12"/>
  <c r="E17" i="12"/>
  <c r="D17" i="12"/>
  <c r="J16" i="12"/>
  <c r="G16" i="12"/>
  <c r="E16" i="12"/>
  <c r="D16" i="12"/>
  <c r="J15" i="12"/>
  <c r="G15" i="12"/>
  <c r="E15" i="12"/>
  <c r="D15" i="12"/>
  <c r="J14" i="12"/>
  <c r="G14" i="12"/>
  <c r="E14" i="12"/>
  <c r="D14" i="12"/>
  <c r="J13" i="12"/>
  <c r="G13" i="12"/>
  <c r="E13" i="12"/>
  <c r="D13" i="12"/>
  <c r="J12" i="12"/>
  <c r="G12" i="12"/>
  <c r="E12" i="12"/>
  <c r="D12" i="12"/>
  <c r="J11" i="12"/>
  <c r="G11" i="12"/>
  <c r="E11" i="12"/>
  <c r="D11" i="12"/>
  <c r="J10" i="12"/>
  <c r="G10" i="12"/>
  <c r="E10" i="12"/>
  <c r="D10" i="12"/>
  <c r="J9" i="12"/>
  <c r="G9" i="12"/>
  <c r="E9" i="12"/>
  <c r="D9" i="12"/>
  <c r="J8" i="12"/>
  <c r="G8" i="12"/>
  <c r="E8" i="12"/>
  <c r="D8" i="12"/>
  <c r="J7" i="12"/>
  <c r="G7" i="12"/>
  <c r="E7" i="12"/>
  <c r="D7" i="12"/>
  <c r="J4" i="1"/>
  <c r="J86" i="1"/>
  <c r="J101" i="1"/>
  <c r="J121" i="1"/>
  <c r="J100" i="1"/>
  <c r="J13" i="1"/>
  <c r="J10" i="1"/>
  <c r="J64" i="1"/>
  <c r="J78" i="1"/>
  <c r="J9" i="1"/>
  <c r="J70" i="1"/>
  <c r="J3" i="1"/>
  <c r="J24" i="1"/>
  <c r="J77" i="1"/>
  <c r="J90" i="1"/>
  <c r="J43" i="1"/>
  <c r="J97" i="1"/>
  <c r="J76" i="1"/>
  <c r="J84" i="1"/>
  <c r="J20" i="1"/>
  <c r="J22" i="1"/>
  <c r="J26" i="1"/>
  <c r="J82" i="1"/>
  <c r="J69" i="1"/>
  <c r="J75" i="1"/>
  <c r="J67" i="1"/>
  <c r="J103" i="1"/>
  <c r="J5" i="1"/>
  <c r="J28" i="1"/>
  <c r="J92" i="1"/>
  <c r="J68" i="1"/>
  <c r="J6" i="1"/>
  <c r="J81" i="1"/>
  <c r="J30" i="1"/>
  <c r="J29" i="1"/>
  <c r="J65" i="1"/>
  <c r="J59" i="1"/>
  <c r="J105" i="1"/>
  <c r="J2" i="1"/>
  <c r="J79" i="1"/>
  <c r="J25" i="1"/>
  <c r="J88" i="1"/>
  <c r="J50" i="1"/>
  <c r="J107" i="1"/>
  <c r="J57" i="1"/>
  <c r="J35" i="1"/>
  <c r="J54" i="1"/>
  <c r="J16" i="1"/>
  <c r="J60" i="1"/>
  <c r="J53" i="1"/>
  <c r="J98" i="1"/>
  <c r="J99" i="1"/>
  <c r="J93" i="1"/>
  <c r="J63" i="1"/>
  <c r="J109" i="1"/>
  <c r="J58" i="1"/>
  <c r="J41" i="1"/>
  <c r="J8" i="1"/>
  <c r="J110" i="1"/>
  <c r="J27" i="1"/>
  <c r="J94" i="1"/>
  <c r="J32" i="1"/>
  <c r="J72" i="1"/>
  <c r="J115" i="1"/>
  <c r="J44" i="1"/>
  <c r="J19" i="1"/>
  <c r="J18" i="1"/>
  <c r="J40" i="1"/>
  <c r="J74" i="1"/>
  <c r="J120" i="1"/>
  <c r="J122" i="1"/>
  <c r="J37" i="1"/>
  <c r="J66" i="1"/>
  <c r="J17" i="1"/>
  <c r="J21" i="1"/>
  <c r="J62" i="1"/>
  <c r="J36" i="1"/>
  <c r="J85" i="1"/>
  <c r="J51" i="1"/>
  <c r="J31" i="1"/>
  <c r="J12" i="1"/>
  <c r="J71" i="1"/>
  <c r="J61" i="1"/>
  <c r="J95" i="1"/>
  <c r="J55" i="1"/>
  <c r="J96" i="1"/>
  <c r="J42" i="1"/>
  <c r="J119" i="1"/>
  <c r="J91" i="1"/>
  <c r="J116" i="1"/>
  <c r="J104" i="1"/>
  <c r="J106" i="1"/>
  <c r="J34" i="1"/>
  <c r="J15" i="1"/>
  <c r="J117" i="1"/>
  <c r="J102" i="1"/>
  <c r="J23" i="1"/>
  <c r="J87" i="1"/>
  <c r="J49" i="1"/>
  <c r="J38" i="1"/>
  <c r="J73" i="1"/>
  <c r="J39" i="1"/>
  <c r="J14" i="1"/>
  <c r="J11" i="1"/>
  <c r="J83" i="1"/>
  <c r="J56" i="1"/>
  <c r="J108" i="1"/>
  <c r="J112" i="1"/>
  <c r="J33" i="1"/>
  <c r="J118" i="1"/>
  <c r="J52" i="1"/>
  <c r="B114" i="1"/>
  <c r="B48" i="1"/>
  <c r="E64" i="1" s="1"/>
  <c r="B46" i="1"/>
  <c r="E76" i="1" s="1"/>
  <c r="B47" i="1"/>
  <c r="E4" i="1" s="1"/>
  <c r="B45" i="1"/>
  <c r="D86" i="1"/>
  <c r="D4" i="1"/>
  <c r="D101" i="1"/>
  <c r="D121" i="1"/>
  <c r="D100" i="1"/>
  <c r="D13" i="1"/>
  <c r="D10" i="1"/>
  <c r="D64" i="1"/>
  <c r="D78" i="1"/>
  <c r="D9" i="1"/>
  <c r="D70" i="1"/>
  <c r="D3" i="1"/>
  <c r="D24" i="1"/>
  <c r="D77" i="1"/>
  <c r="D90" i="1"/>
  <c r="D43" i="1"/>
  <c r="D97" i="1"/>
  <c r="D76" i="1"/>
  <c r="D84" i="1"/>
  <c r="D20" i="1"/>
  <c r="D22" i="1"/>
  <c r="D26" i="1"/>
  <c r="D82" i="1"/>
  <c r="D69" i="1"/>
  <c r="D75" i="1"/>
  <c r="D67" i="1"/>
  <c r="D103" i="1"/>
  <c r="D5" i="1"/>
  <c r="D28" i="1"/>
  <c r="D92" i="1"/>
  <c r="D68" i="1"/>
  <c r="D6" i="1"/>
  <c r="D81" i="1"/>
  <c r="D30" i="1"/>
  <c r="D29" i="1"/>
  <c r="D65" i="1"/>
  <c r="D59" i="1"/>
  <c r="D105" i="1"/>
  <c r="D2" i="1"/>
  <c r="D79" i="1"/>
  <c r="D25" i="1"/>
  <c r="D88" i="1"/>
  <c r="D50" i="1"/>
  <c r="D107" i="1"/>
  <c r="D57" i="1"/>
  <c r="D35" i="1"/>
  <c r="D54" i="1"/>
  <c r="D16" i="1"/>
  <c r="D60" i="1"/>
  <c r="D53" i="1"/>
  <c r="D98" i="1"/>
  <c r="D99" i="1"/>
  <c r="D93" i="1"/>
  <c r="D63" i="1"/>
  <c r="D109" i="1"/>
  <c r="D58" i="1"/>
  <c r="D41" i="1"/>
  <c r="D8" i="1"/>
  <c r="D110" i="1"/>
  <c r="D27" i="1"/>
  <c r="D94" i="1"/>
  <c r="D32" i="1"/>
  <c r="D72" i="1"/>
  <c r="D115" i="1"/>
  <c r="D44" i="1"/>
  <c r="D19" i="1"/>
  <c r="D18" i="1"/>
  <c r="D40" i="1"/>
  <c r="D74" i="1"/>
  <c r="D120" i="1"/>
  <c r="D122" i="1"/>
  <c r="D37" i="1"/>
  <c r="D66" i="1"/>
  <c r="D17" i="1"/>
  <c r="D21" i="1"/>
  <c r="D62" i="1"/>
  <c r="D36" i="1"/>
  <c r="D85" i="1"/>
  <c r="D51" i="1"/>
  <c r="D31" i="1"/>
  <c r="D12" i="1"/>
  <c r="D71" i="1"/>
  <c r="D61" i="1"/>
  <c r="D95" i="1"/>
  <c r="D55" i="1"/>
  <c r="D96" i="1"/>
  <c r="D42" i="1"/>
  <c r="D119" i="1"/>
  <c r="D91" i="1"/>
  <c r="D116" i="1"/>
  <c r="D104" i="1"/>
  <c r="D106" i="1"/>
  <c r="D34" i="1"/>
  <c r="D15" i="1"/>
  <c r="D117" i="1"/>
  <c r="D102" i="1"/>
  <c r="D23" i="1"/>
  <c r="D87" i="1"/>
  <c r="D49" i="1"/>
  <c r="D38" i="1"/>
  <c r="D73" i="1"/>
  <c r="D39" i="1"/>
  <c r="D14" i="1"/>
  <c r="D11" i="1"/>
  <c r="D83" i="1"/>
  <c r="D56" i="1"/>
  <c r="D108" i="1"/>
  <c r="D112" i="1"/>
  <c r="D33" i="1"/>
  <c r="D118" i="1"/>
  <c r="D52" i="1"/>
  <c r="G4" i="1"/>
  <c r="G86" i="1"/>
  <c r="G101" i="1"/>
  <c r="G121" i="1"/>
  <c r="G100" i="1"/>
  <c r="G13" i="1"/>
  <c r="G10" i="1"/>
  <c r="G64" i="1"/>
  <c r="G78" i="1"/>
  <c r="G9" i="1"/>
  <c r="G70" i="1"/>
  <c r="G3" i="1"/>
  <c r="G24" i="1"/>
  <c r="G77" i="1"/>
  <c r="G90" i="1"/>
  <c r="G43" i="1"/>
  <c r="G97" i="1"/>
  <c r="G76" i="1"/>
  <c r="G84" i="1"/>
  <c r="G20" i="1"/>
  <c r="G22" i="1"/>
  <c r="G26" i="1"/>
  <c r="G82" i="1"/>
  <c r="G69" i="1"/>
  <c r="G75" i="1"/>
  <c r="G67" i="1"/>
  <c r="G103" i="1"/>
  <c r="G5" i="1"/>
  <c r="G28" i="1"/>
  <c r="G92" i="1"/>
  <c r="G68" i="1"/>
  <c r="G6" i="1"/>
  <c r="G81" i="1"/>
  <c r="G30" i="1"/>
  <c r="G29" i="1"/>
  <c r="G65" i="1"/>
  <c r="G59" i="1"/>
  <c r="G105" i="1"/>
  <c r="G2" i="1"/>
  <c r="G79" i="1"/>
  <c r="G25" i="1"/>
  <c r="G88" i="1"/>
  <c r="G50" i="1"/>
  <c r="G107" i="1"/>
  <c r="G57" i="1"/>
  <c r="G35" i="1"/>
  <c r="G54" i="1"/>
  <c r="G16" i="1"/>
  <c r="G60" i="1"/>
  <c r="G53" i="1"/>
  <c r="G98" i="1"/>
  <c r="G99" i="1"/>
  <c r="G93" i="1"/>
  <c r="G63" i="1"/>
  <c r="G109" i="1"/>
  <c r="G58" i="1"/>
  <c r="G41" i="1"/>
  <c r="G8" i="1"/>
  <c r="G110" i="1"/>
  <c r="G27" i="1"/>
  <c r="G94" i="1"/>
  <c r="G32" i="1"/>
  <c r="G72" i="1"/>
  <c r="G115" i="1"/>
  <c r="G44" i="1"/>
  <c r="G19" i="1"/>
  <c r="G18" i="1"/>
  <c r="G40" i="1"/>
  <c r="G74" i="1"/>
  <c r="G120" i="1"/>
  <c r="G122" i="1"/>
  <c r="G37" i="1"/>
  <c r="G66" i="1"/>
  <c r="G17" i="1"/>
  <c r="G21" i="1"/>
  <c r="G62" i="1"/>
  <c r="G36" i="1"/>
  <c r="G85" i="1"/>
  <c r="G51" i="1"/>
  <c r="G31" i="1"/>
  <c r="G12" i="1"/>
  <c r="G71" i="1"/>
  <c r="G61" i="1"/>
  <c r="G95" i="1"/>
  <c r="G55" i="1"/>
  <c r="G96" i="1"/>
  <c r="G42" i="1"/>
  <c r="G119" i="1"/>
  <c r="G91" i="1"/>
  <c r="G116" i="1"/>
  <c r="G104" i="1"/>
  <c r="G106" i="1"/>
  <c r="G34" i="1"/>
  <c r="G15" i="1"/>
  <c r="G117" i="1"/>
  <c r="G102" i="1"/>
  <c r="G23" i="1"/>
  <c r="G87" i="1"/>
  <c r="G49" i="1"/>
  <c r="G38" i="1"/>
  <c r="G73" i="1"/>
  <c r="G39" i="1"/>
  <c r="G14" i="1"/>
  <c r="G11" i="1"/>
  <c r="G83" i="1"/>
  <c r="G56" i="1"/>
  <c r="G108" i="1"/>
  <c r="G112" i="1"/>
  <c r="G33" i="1"/>
  <c r="G118" i="1"/>
  <c r="G52" i="1"/>
  <c r="E86" i="1"/>
  <c r="E101" i="1"/>
  <c r="E121" i="1"/>
  <c r="E100" i="1"/>
  <c r="E13" i="1"/>
  <c r="E10" i="1"/>
  <c r="E78" i="1"/>
  <c r="E9" i="1"/>
  <c r="E70" i="1"/>
  <c r="E3" i="1"/>
  <c r="E24" i="1"/>
  <c r="E77" i="1"/>
  <c r="E90" i="1"/>
  <c r="E43" i="1"/>
  <c r="E97" i="1"/>
  <c r="E84" i="1"/>
  <c r="E20" i="1"/>
  <c r="E22" i="1"/>
  <c r="E26" i="1"/>
  <c r="E82" i="1"/>
  <c r="E69" i="1"/>
  <c r="E75" i="1"/>
  <c r="E67" i="1"/>
  <c r="E103" i="1"/>
  <c r="E5" i="1"/>
  <c r="E28" i="1"/>
  <c r="E92" i="1"/>
  <c r="E68" i="1"/>
  <c r="E6" i="1"/>
  <c r="E81" i="1"/>
  <c r="E30" i="1"/>
  <c r="E29" i="1"/>
  <c r="E65" i="1"/>
  <c r="E59" i="1"/>
  <c r="E105" i="1"/>
  <c r="E2" i="1"/>
  <c r="E79" i="1"/>
  <c r="E25" i="1"/>
  <c r="E88" i="1"/>
  <c r="E50" i="1"/>
  <c r="E107" i="1"/>
  <c r="E57" i="1"/>
  <c r="E35" i="1"/>
  <c r="E54" i="1"/>
  <c r="E16" i="1"/>
  <c r="E60" i="1"/>
  <c r="E53" i="1"/>
  <c r="E98" i="1"/>
  <c r="E99" i="1"/>
  <c r="E93" i="1"/>
  <c r="E63" i="1"/>
  <c r="E109" i="1"/>
  <c r="E58" i="1"/>
  <c r="E41" i="1"/>
  <c r="E8" i="1"/>
  <c r="E27" i="1"/>
  <c r="E94" i="1"/>
  <c r="E32" i="1"/>
  <c r="E7" i="1"/>
  <c r="E72" i="1"/>
  <c r="E115" i="1"/>
  <c r="E44" i="1"/>
  <c r="E19" i="1"/>
  <c r="E18" i="1"/>
  <c r="E40" i="1"/>
  <c r="E74" i="1"/>
  <c r="E120" i="1"/>
  <c r="E37" i="1"/>
  <c r="E66" i="1"/>
  <c r="E17" i="1"/>
  <c r="E21" i="1"/>
  <c r="E62" i="1"/>
  <c r="E36" i="1"/>
  <c r="E85" i="1"/>
  <c r="E51" i="1"/>
  <c r="E31" i="1"/>
  <c r="E12" i="1"/>
  <c r="E71" i="1"/>
  <c r="E61" i="1"/>
  <c r="E95" i="1"/>
  <c r="E96" i="1"/>
  <c r="E42" i="1"/>
  <c r="E119" i="1"/>
  <c r="E91" i="1"/>
  <c r="E116" i="1"/>
  <c r="E104" i="1"/>
  <c r="E106" i="1"/>
  <c r="E34" i="1"/>
  <c r="E15" i="1"/>
  <c r="E117" i="1"/>
  <c r="E102" i="1"/>
  <c r="E23" i="1"/>
  <c r="E87" i="1"/>
  <c r="E49" i="1"/>
  <c r="E38" i="1"/>
  <c r="E73" i="1"/>
  <c r="E39" i="1"/>
  <c r="E14" i="1"/>
  <c r="E11" i="1"/>
  <c r="E83" i="1"/>
  <c r="E56" i="1"/>
  <c r="E108" i="1"/>
  <c r="E112" i="1"/>
  <c r="E33" i="1"/>
  <c r="E118" i="1"/>
  <c r="E52" i="1"/>
  <c r="B89" i="1" l="1"/>
  <c r="E55" i="1" s="1"/>
  <c r="B80" i="1"/>
  <c r="E110" i="1" s="1"/>
  <c r="E12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177F5-320D-460B-90FC-676C562BFD2B}"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<sst xmlns="http://schemas.openxmlformats.org/spreadsheetml/2006/main" count="822" uniqueCount="373">
  <si>
    <t>Product</t>
  </si>
  <si>
    <t>Current price</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</si>
  <si>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</si>
  <si>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</si>
  <si>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</si>
  <si>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</si>
  <si>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</si>
  <si>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</si>
  <si>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</si>
  <si>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</si>
  <si>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</si>
  <si>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</si>
  <si>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</si>
  <si>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</si>
  <si>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</si>
  <si>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</si>
  <si>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</si>
  <si>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</si>
  <si>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</si>
  <si>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</si>
  <si>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</si>
  <si>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</si>
  <si>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</si>
  <si>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</si>
  <si>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</si>
  <si>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</si>
  <si>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</si>
  <si>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</si>
  <si>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</si>
  <si>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</si>
  <si>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</si>
  <si>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</si>
  <si>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</si>
  <si>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</si>
  <si>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</si>
  <si>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</si>
  <si>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</si>
  <si>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</si>
  <si>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</si>
  <si>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</si>
  <si>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</si>
  <si>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</si>
  <si>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</si>
  <si>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</si>
  <si>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</si>
  <si>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</si>
  <si>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</si>
  <si>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</si>
  <si>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</si>
  <si>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</si>
  <si>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</si>
  <si>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</si>
  <si>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</si>
  <si>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</si>
  <si>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</si>
  <si>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</si>
  <si>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</si>
  <si>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</si>
  <si>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</si>
  <si>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</si>
  <si>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</si>
  <si>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</si>
  <si>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</si>
  <si>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</si>
  <si>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</si>
  <si>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</si>
  <si>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</si>
  <si>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</si>
  <si>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</si>
  <si>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</si>
  <si>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</si>
  <si>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</si>
  <si>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</si>
  <si>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</si>
  <si>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</si>
  <si>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</si>
  <si>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</si>
  <si>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</si>
  <si>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</si>
  <si>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</si>
  <si>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</si>
  <si>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</si>
  <si>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</si>
  <si>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</si>
  <si>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</si>
  <si>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</si>
  <si>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</si>
  <si>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</si>
  <si>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</si>
  <si>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</si>
  <si>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</si>
  <si>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</si>
  <si>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</si>
  <si>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</si>
  <si>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</si>
  <si>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</si>
  <si>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</si>
  <si>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</si>
  <si>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</si>
  <si>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</si>
  <si>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</si>
  <si>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</si>
  <si>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</si>
  <si>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</si>
  <si>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</si>
  <si>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</si>
  <si>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</si>
  <si>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</si>
  <si>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</si>
  <si>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</si>
  <si>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</si>
  <si>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</si>
  <si>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 (out of 5)</t>
  </si>
  <si>
    <t>Old price</t>
  </si>
  <si>
    <t>Discount(%)</t>
  </si>
  <si>
    <t>Discount KES</t>
  </si>
  <si>
    <t>Rating category</t>
  </si>
  <si>
    <t>Discount category</t>
  </si>
  <si>
    <t>Price category</t>
  </si>
  <si>
    <t>Summations</t>
  </si>
  <si>
    <t>Average current price</t>
  </si>
  <si>
    <t>Average old price</t>
  </si>
  <si>
    <t>Average discount percentage</t>
  </si>
  <si>
    <t>Average product rating (Out of 5)</t>
  </si>
  <si>
    <t>Total number of products</t>
  </si>
  <si>
    <t>112 Product entries</t>
  </si>
  <si>
    <t>Total number of reviews</t>
  </si>
  <si>
    <t>Most expensive product</t>
  </si>
  <si>
    <t>Least expensive product</t>
  </si>
  <si>
    <t>Row Labels</t>
  </si>
  <si>
    <t>Grand Total</t>
  </si>
  <si>
    <t>Count of Review</t>
  </si>
  <si>
    <t>High discount</t>
  </si>
  <si>
    <t>Low discount</t>
  </si>
  <si>
    <t>Medium discount</t>
  </si>
  <si>
    <t>Average</t>
  </si>
  <si>
    <t>Excellent</t>
  </si>
  <si>
    <t>Poor</t>
  </si>
  <si>
    <t>Budget friendly</t>
  </si>
  <si>
    <t>Premium</t>
  </si>
  <si>
    <t>Value</t>
  </si>
  <si>
    <t>Average of Rating (out of 5)</t>
  </si>
  <si>
    <t>(Multiple Items)</t>
  </si>
  <si>
    <t>Product perfromance analysis</t>
  </si>
  <si>
    <t>Sum of Review</t>
  </si>
  <si>
    <t>Products with the strongest customer engagement are as shown below. These products were rated "Excellent" ie rating &gt;4.5 and have over 20 customer reviews.</t>
  </si>
  <si>
    <t>These products have the highest discounts (&gt;40%) and are poorly rated (&lt;3 out of 5)</t>
  </si>
  <si>
    <t>old price</t>
  </si>
  <si>
    <t>Discount</t>
  </si>
  <si>
    <t>Ratingd</t>
  </si>
  <si>
    <t>KSh 950</t>
  </si>
  <si>
    <t>KSh 1,525</t>
  </si>
  <si>
    <t>4.5 out of 5</t>
  </si>
  <si>
    <t>KSh 527</t>
  </si>
  <si>
    <t>KSh 999</t>
  </si>
  <si>
    <t>4.1 out of 5</t>
  </si>
  <si>
    <t>KSh 2,199</t>
  </si>
  <si>
    <t>KSh 2,923</t>
  </si>
  <si>
    <t>4.6 out of 5</t>
  </si>
  <si>
    <t>KSh 1,580</t>
  </si>
  <si>
    <t>KSh 2,499</t>
  </si>
  <si>
    <t>4.7 out of 5</t>
  </si>
  <si>
    <t>KSh 1,740</t>
  </si>
  <si>
    <t>KSh 2,356</t>
  </si>
  <si>
    <t>4.8 out of 5</t>
  </si>
  <si>
    <t>KSh 2,999</t>
  </si>
  <si>
    <t>KSh 3,290</t>
  </si>
  <si>
    <t>4 out of 5</t>
  </si>
  <si>
    <t>KSh 2,319</t>
  </si>
  <si>
    <t>KSh 3,032</t>
  </si>
  <si>
    <t>KSh 988</t>
  </si>
  <si>
    <t>KSh 1,274</t>
  </si>
  <si>
    <t>KSh 2,800</t>
  </si>
  <si>
    <t>KSh 1,600</t>
  </si>
  <si>
    <t>KSh 2,929</t>
  </si>
  <si>
    <t>3.8 out of 5</t>
  </si>
  <si>
    <t>KSh 799</t>
  </si>
  <si>
    <t>KSh 990</t>
  </si>
  <si>
    <t>KSh 1,500</t>
  </si>
  <si>
    <t>KSh 552</t>
  </si>
  <si>
    <t>KSh 1,035</t>
  </si>
  <si>
    <t>KSh 501</t>
  </si>
  <si>
    <t>KSh 860</t>
  </si>
  <si>
    <t>KSh 1,680</t>
  </si>
  <si>
    <t>4.2 out of 5</t>
  </si>
  <si>
    <t>KSh 332</t>
  </si>
  <si>
    <t>KSh 684</t>
  </si>
  <si>
    <t>5 out of 5</t>
  </si>
  <si>
    <t>KSh 195</t>
  </si>
  <si>
    <t>KSh 360</t>
  </si>
  <si>
    <t>KSh 2,025</t>
  </si>
  <si>
    <t>KSh 3,971</t>
  </si>
  <si>
    <t>KSh 3,699</t>
  </si>
  <si>
    <t>KSh 998</t>
  </si>
  <si>
    <t>KSh 1,966</t>
  </si>
  <si>
    <t>KSh 38</t>
  </si>
  <si>
    <t>KSh 80</t>
  </si>
  <si>
    <t>3.3 out of 5</t>
  </si>
  <si>
    <t>KSh 1,860</t>
  </si>
  <si>
    <t>KSh 3,220</t>
  </si>
  <si>
    <t>KSh 880</t>
  </si>
  <si>
    <t>KSh 1,350</t>
  </si>
  <si>
    <t>KSh 1,650</t>
  </si>
  <si>
    <t>KSh 2,150</t>
  </si>
  <si>
    <t>4.4 out of 5</t>
  </si>
  <si>
    <t>KSh 2,048</t>
  </si>
  <si>
    <t>KSh 4,500</t>
  </si>
  <si>
    <t>4.3 out of 5</t>
  </si>
  <si>
    <t>KSh 420</t>
  </si>
  <si>
    <t>KSh 647</t>
  </si>
  <si>
    <t>KSh 2,880</t>
  </si>
  <si>
    <t>KSh 3,520</t>
  </si>
  <si>
    <t>KSh 1,990</t>
  </si>
  <si>
    <t>KSh 1,758</t>
  </si>
  <si>
    <t>KSh 2,200</t>
  </si>
  <si>
    <t>KSh 4,080</t>
  </si>
  <si>
    <t>KSh 185</t>
  </si>
  <si>
    <t>KSh 382</t>
  </si>
  <si>
    <t>KSh 980</t>
  </si>
  <si>
    <t>KSh 1,490</t>
  </si>
  <si>
    <t>KSh 1,820</t>
  </si>
  <si>
    <t>KSh 3,490</t>
  </si>
  <si>
    <t>KSh 1,940</t>
  </si>
  <si>
    <t>KSh 2,650</t>
  </si>
  <si>
    <t>KSh 1,980</t>
  </si>
  <si>
    <t>KSh 2,699</t>
  </si>
  <si>
    <t>KSh 1,620</t>
  </si>
  <si>
    <t>KSh 2,690</t>
  </si>
  <si>
    <t>KSh 171</t>
  </si>
  <si>
    <t>KSh 389</t>
  </si>
  <si>
    <t>KSh 656</t>
  </si>
  <si>
    <t>KSh 1,620 - KSh 1,980</t>
  </si>
  <si>
    <t>KSh 2,200 - KSh 3,200</t>
  </si>
  <si>
    <t>KSh 2,750</t>
  </si>
  <si>
    <t>KSh 4,471</t>
  </si>
  <si>
    <t>KSh 475</t>
  </si>
  <si>
    <t>KSh 931</t>
  </si>
  <si>
    <t>KSh 238</t>
  </si>
  <si>
    <t>KSh 476</t>
  </si>
  <si>
    <t>KSh 610</t>
  </si>
  <si>
    <t>KSh 1,060</t>
  </si>
  <si>
    <t>KSh 2,132</t>
  </si>
  <si>
    <t>KSh 2,169</t>
  </si>
  <si>
    <t>KSh 2,000</t>
  </si>
  <si>
    <t>KSh 1,190</t>
  </si>
  <si>
    <t>KSh 1,785</t>
  </si>
  <si>
    <t>KSh 671</t>
  </si>
  <si>
    <t>KSh 1,316</t>
  </si>
  <si>
    <t>KSh 1,200</t>
  </si>
  <si>
    <t>KSh 1,950</t>
  </si>
  <si>
    <t>KSh 199</t>
  </si>
  <si>
    <t>KSh 504</t>
  </si>
  <si>
    <t>KSh 299</t>
  </si>
  <si>
    <t>KSh 600</t>
  </si>
  <si>
    <t>KSh 1,660</t>
  </si>
  <si>
    <t>KSh 1,699</t>
  </si>
  <si>
    <t>KSh 384</t>
  </si>
  <si>
    <t>KSh 1,459</t>
  </si>
  <si>
    <t>KSh 1,499</t>
  </si>
  <si>
    <t>KSh 1,343</t>
  </si>
  <si>
    <t>KSh 499</t>
  </si>
  <si>
    <t>KSh 900</t>
  </si>
  <si>
    <t>KSh 699</t>
  </si>
  <si>
    <t>KSh 1,567</t>
  </si>
  <si>
    <t>KSh 2,799</t>
  </si>
  <si>
    <t>KSh 3,810</t>
  </si>
  <si>
    <t>KSh 399</t>
  </si>
  <si>
    <t>KSh 896</t>
  </si>
  <si>
    <t>KSh 2,170</t>
  </si>
  <si>
    <t>KSh 2,500</t>
  </si>
  <si>
    <t>2.5 out of 5</t>
  </si>
  <si>
    <t>KSh 458</t>
  </si>
  <si>
    <t>KSh 986</t>
  </si>
  <si>
    <t>3 out of 5</t>
  </si>
  <si>
    <t>KSh 2,115</t>
  </si>
  <si>
    <t>KSh 4,700</t>
  </si>
  <si>
    <t>2.1 out of 5</t>
  </si>
  <si>
    <t>KSh 445</t>
  </si>
  <si>
    <t>KSh 873</t>
  </si>
  <si>
    <t>2.8 out of 5</t>
  </si>
  <si>
    <t>KSh 325</t>
  </si>
  <si>
    <t>KSh 680</t>
  </si>
  <si>
    <t>2.7 out of 5</t>
  </si>
  <si>
    <t>KSh 1,220</t>
  </si>
  <si>
    <t>KSh 1,555</t>
  </si>
  <si>
    <t>2.9 out of 5</t>
  </si>
  <si>
    <t>KSh 1,814</t>
  </si>
  <si>
    <t>2.2 out of 5</t>
  </si>
  <si>
    <t>KSh 1,000</t>
  </si>
  <si>
    <t>2.3 out of 5</t>
  </si>
  <si>
    <t>KSh 3,750</t>
  </si>
  <si>
    <t>KSh 6,143</t>
  </si>
  <si>
    <t>KSh 700</t>
  </si>
  <si>
    <t>2.6 out of 5</t>
  </si>
  <si>
    <t>KSh 2,300</t>
  </si>
  <si>
    <t>KSh 3,240</t>
  </si>
  <si>
    <t>KSh 345</t>
  </si>
  <si>
    <t>KSh 602</t>
  </si>
  <si>
    <t>KSh 509</t>
  </si>
  <si>
    <t>KSh 899</t>
  </si>
  <si>
    <t>KSh 968</t>
  </si>
  <si>
    <t>KSh 1,570</t>
  </si>
  <si>
    <t>KSh 2,988</t>
  </si>
  <si>
    <t>KSh 790</t>
  </si>
  <si>
    <t>KSh 1,485</t>
  </si>
  <si>
    <t>KSh 690</t>
  </si>
  <si>
    <t>KSh 1,732</t>
  </si>
  <si>
    <t>KSh 1,799</t>
  </si>
  <si>
    <t>KSh 230</t>
  </si>
  <si>
    <t>KSh 450</t>
  </si>
  <si>
    <t>KSh 1,189</t>
  </si>
  <si>
    <t>KSh 979</t>
  </si>
  <si>
    <t>KSh 1,920</t>
  </si>
  <si>
    <t>KSh 1,460</t>
  </si>
  <si>
    <t>KSh 2,290</t>
  </si>
  <si>
    <t>KSh 1,666</t>
  </si>
  <si>
    <t>KSh 330</t>
  </si>
  <si>
    <t>KSh 176</t>
  </si>
  <si>
    <t>KSh 1,466</t>
  </si>
  <si>
    <t>KSh 274</t>
  </si>
  <si>
    <t>KSh 537</t>
  </si>
  <si>
    <t>KSh 657</t>
  </si>
  <si>
    <t>KSh 1,288</t>
  </si>
  <si>
    <t>KSh 1,468</t>
  </si>
  <si>
    <t>KSh 630</t>
  </si>
  <si>
    <t>KSh 1,100</t>
  </si>
  <si>
    <t>KSh 850</t>
  </si>
  <si>
    <t>KSh 1,700</t>
  </si>
  <si>
    <t>KSh 1,300</t>
  </si>
  <si>
    <t>KSh 105</t>
  </si>
  <si>
    <t>KSh 200</t>
  </si>
  <si>
    <t>KSh 2,400</t>
  </si>
  <si>
    <t>KSh 1,526</t>
  </si>
  <si>
    <t>KSh 1,462</t>
  </si>
  <si>
    <t>KSh 248</t>
  </si>
  <si>
    <t>KSh 486</t>
  </si>
  <si>
    <t>KSh 3,546</t>
  </si>
  <si>
    <t>KSh 525</t>
  </si>
  <si>
    <t>KSh 1,029</t>
  </si>
  <si>
    <t>KSh 1,080</t>
  </si>
  <si>
    <t>KSh 1,874</t>
  </si>
  <si>
    <t>KSh 3,640</t>
  </si>
  <si>
    <t>KSh 4,588</t>
  </si>
  <si>
    <t>KSh 1,420</t>
  </si>
  <si>
    <t>KSh 2,420</t>
  </si>
  <si>
    <t>KSh 1,875</t>
  </si>
  <si>
    <t>KSh 1,899</t>
  </si>
  <si>
    <t>KSh 198</t>
  </si>
  <si>
    <t>KSh 260</t>
  </si>
  <si>
    <t>KSh 1,150</t>
  </si>
  <si>
    <t>KSh 1,737</t>
  </si>
  <si>
    <t>KSh 1,810</t>
  </si>
  <si>
    <t>KSh 1,658</t>
  </si>
  <si>
    <t>KSh 1,768</t>
  </si>
  <si>
    <t>KSh 553</t>
  </si>
  <si>
    <t>2 out of 5</t>
  </si>
  <si>
    <t>KSh 169</t>
  </si>
  <si>
    <t>KSh 320</t>
  </si>
  <si>
    <t>In the columns E: Discount, F: Discount percentage, H: Review and I: Rating, conditional formatting was applied; cells highlighted in green show the top 10 values in the respective columns.</t>
  </si>
  <si>
    <t>(blank)</t>
  </si>
  <si>
    <t>TOP 10 HIGHEST RATED PRODUCTS</t>
  </si>
  <si>
    <t>Average of Discount(%)</t>
  </si>
  <si>
    <t>TOP 10 PRODUCTS BY REVIEWS COUNT</t>
  </si>
  <si>
    <t>REVIEW COUNT</t>
  </si>
  <si>
    <t>DISCOUNT PERCENTAGE</t>
  </si>
  <si>
    <t>TOP 10 DISCOUNTED PRODUCTS</t>
  </si>
  <si>
    <t>TOTAL</t>
  </si>
  <si>
    <t>W</t>
  </si>
  <si>
    <t>Absolute Discount</t>
  </si>
  <si>
    <t>PRODUCTS WITH THE HIGHEST CUSTOMER REVIEWS</t>
  </si>
  <si>
    <t>PRODUCTS WUTH THE HIGHEST DISCOUNTS</t>
  </si>
  <si>
    <t>TOP 10 RATED PRODUCTS</t>
  </si>
  <si>
    <t>BOTTOM 10 RATED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</si>
</sst>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KES]\ #,##0.00"/>
    <numFmt numFmtId="165" formatCode="0.0"/>
    <numFmt numFmtId="166"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sz val="14"/>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0" tint="-0.34998626667073579"/>
        <bgColor indexed="64"/>
      </patternFill>
    </fill>
    <fill>
      <patternFill patternType="solid">
        <fgColor theme="1" tint="0.249977111117893"/>
        <bgColor theme="1" tint="0.249977111117893"/>
      </patternFill>
    </fill>
    <fill>
      <patternFill patternType="solid">
        <fgColor theme="5" tint="0.79998168889431442"/>
        <bgColor theme="5"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2">
    <xf numFmtId="0" fontId="0" fillId="0" borderId="0" xfId="0"/>
    <xf numFmtId="0" fontId="18" fillId="33" borderId="0" xfId="0" applyFont="1" applyFill="1"/>
    <xf numFmtId="49" fontId="18" fillId="33" borderId="0" xfId="0" applyNumberFormat="1" applyFont="1" applyFill="1"/>
    <xf numFmtId="49" fontId="0" fillId="0" borderId="0" xfId="0" applyNumberFormat="1"/>
    <xf numFmtId="164" fontId="18" fillId="33" borderId="0" xfId="0" applyNumberFormat="1" applyFont="1" applyFill="1"/>
    <xf numFmtId="164" fontId="0" fillId="0" borderId="0" xfId="0" applyNumberFormat="1"/>
    <xf numFmtId="2" fontId="18" fillId="33" borderId="0" xfId="0" applyNumberFormat="1" applyFont="1" applyFill="1"/>
    <xf numFmtId="2" fontId="0" fillId="0" borderId="0" xfId="0" applyNumberFormat="1"/>
    <xf numFmtId="1" fontId="18" fillId="33" borderId="0" xfId="0" applyNumberFormat="1" applyFont="1" applyFill="1"/>
    <xf numFmtId="1" fontId="0" fillId="0" borderId="0" xfId="0" applyNumberFormat="1"/>
    <xf numFmtId="165" fontId="18" fillId="33" borderId="0" xfId="0" applyNumberFormat="1" applyFont="1" applyFill="1"/>
    <xf numFmtId="165" fontId="0" fillId="0" borderId="0" xfId="0" applyNumberFormat="1"/>
    <xf numFmtId="0" fontId="19" fillId="0" borderId="0" xfId="0" applyFont="1"/>
    <xf numFmtId="4" fontId="0" fillId="0" borderId="0" xfId="0" applyNumberFormat="1"/>
    <xf numFmtId="166"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18" fillId="33" borderId="0" xfId="42" applyFont="1" applyFill="1"/>
    <xf numFmtId="9" fontId="0" fillId="0" borderId="0" xfId="42" applyFont="1"/>
    <xf numFmtId="49" fontId="21" fillId="0" borderId="0" xfId="0" applyNumberFormat="1" applyFont="1"/>
    <xf numFmtId="9" fontId="0" fillId="0" borderId="0" xfId="0" applyNumberFormat="1"/>
    <xf numFmtId="0" fontId="0" fillId="34" borderId="0" xfId="0" applyFill="1"/>
    <xf numFmtId="0" fontId="13" fillId="35" borderId="11" xfId="0" applyFont="1" applyFill="1" applyBorder="1"/>
    <xf numFmtId="0" fontId="0" fillId="34" borderId="0" xfId="0" applyFill="1" applyAlignment="1">
      <alignment horizontal="left"/>
    </xf>
    <xf numFmtId="0" fontId="13" fillId="35" borderId="10" xfId="0" applyFont="1" applyFill="1" applyBorder="1"/>
    <xf numFmtId="0" fontId="0" fillId="36" borderId="12" xfId="0" applyFill="1" applyBorder="1" applyAlignment="1">
      <alignment horizontal="left"/>
    </xf>
    <xf numFmtId="0" fontId="0" fillId="36" borderId="13" xfId="0" applyFill="1" applyBorder="1"/>
    <xf numFmtId="0" fontId="0" fillId="0" borderId="0" xfId="0"/>
    <xf numFmtId="49" fontId="22" fillId="0" borderId="0" xfId="0" applyNumberFormat="1" applyFont="1"/>
    <xf numFmtId="0" fontId="23" fillId="0" borderId="0" xfId="0" applyFon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0" formatCode="@"/>
    </dxf>
    <dxf>
      <numFmt numFmtId="2" formatCode="0.00"/>
    </dxf>
    <dxf>
      <numFmt numFmtId="164" formatCode="[$KES]\ #,##0.00"/>
    </dxf>
    <dxf>
      <numFmt numFmtId="164" formatCode="[$KES]\ #,##0.00"/>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Perfromance Dashboard Excel_jumia_dataset.xlsx]Discount vs Reviews!PivotTable2</c:name>
    <c:fmtId val="6"/>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sz="1400" b="1">
                <a:solidFill>
                  <a:schemeClr val="tx1"/>
                </a:solidFill>
                <a:latin typeface="+mn-lt"/>
              </a:rPr>
              <a:t>Discount</a:t>
            </a:r>
            <a:r>
              <a:rPr lang="en-US" sz="1400" b="1" baseline="0">
                <a:solidFill>
                  <a:schemeClr val="tx1"/>
                </a:solidFill>
                <a:latin typeface="+mn-lt"/>
              </a:rPr>
              <a:t> category vs Customer reviews</a:t>
            </a:r>
            <a:endParaRPr lang="en-US" sz="1400" b="1">
              <a:solidFill>
                <a:schemeClr val="tx1"/>
              </a:solidFill>
              <a:latin typeface="+mn-lt"/>
            </a:endParaRPr>
          </a:p>
        </c:rich>
      </c:tx>
      <c:layout>
        <c:manualLayout>
          <c:xMode val="edge"/>
          <c:yMode val="edge"/>
          <c:x val="0.16131933508311461"/>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'Discount vs Reviews'!$B$3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'Discount vs Reviews'!$A$4:$A$8</c:f>
              <c:strCache>
                <c:ptCount val="4"/>
                <c:pt idx="0">
                  <c:v>High discount</c:v>
                </c:pt>
                <c:pt idx="1">
                  <c:v>Low discount</c:v>
                </c:pt>
                <c:pt idx="2">
                  <c:v>Medium discount</c:v>
                </c:pt>
                <c:pt idx="3">
                  <c:v>(blank)</c:v>
                </c:pt>
              </c:strCache>
            </c:strRef>
          </c:cat>
          <c:val>
            <c:numRef>
              <c:f>'Discount vs Reviews'!$B$4:$B$8</c:f>
              <c:numCache>
                <c:formatCode>General</c:formatCode>
                <c:ptCount val="4"/>
                <c:pt idx="0">
                  <c:v>30</c:v>
                </c:pt>
                <c:pt idx="1">
                  <c:v>4</c:v>
                </c:pt>
                <c:pt idx="2">
                  <c:v>23</c:v>
                </c:pt>
              </c:numCache>
            </c:numRef>
          </c:val>
          <c:extLst>
            <c:ext xmlns:c16="http://schemas.microsoft.com/office/drawing/2014/chart" uri="{C3380CC4-5D6E-409C-BE32-E72D297353CC}">
              <c16:uniqueId val="{00000000-84EA-4A3F-BCED-84A264C46829}"/>
            </c:ext>
          </c:extLst>
        </c:ser>
        <c:dLbls>
          <c:dLblPos val="outEnd"/>
          <c:showLegendKey val="0"/>
          <c:showVal val="1"/>
          <c:showCatName val="0"/>
          <c:showSerName val="0"/>
          <c:showPercent val="0"/>
          <c:showBubbleSize val="0"/>
        </c:dLbls>
        <c:gapWidth val="267"/>
        <c:axId val="1200690319"/>
        <c:axId val="942944111"/>
      </c:barChart>
      <c:catAx>
        <c:axId val="1200690319"/>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KE"/>
          </a:p>
        </c:txPr>
        <c:crossAx val="942944111"/>
        <c:crosses val="autoZero"/>
        <c:auto val="1"/>
        <c:lblAlgn val="ctr"/>
        <c:lblOffset val="100"/>
        <c:noMultiLvlLbl val="0"/>
      </c:catAx>
      <c:valAx>
        <c:axId val="94294411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crossAx val="120069031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Excel_jumia_dataset.xlsx]Rating vs Reviews!PivotTable4</c:name>
    <c:fmtId val="16"/>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sz="1400" b="1">
                <a:solidFill>
                  <a:schemeClr val="tx1"/>
                </a:solidFill>
                <a:latin typeface="+mn-lt"/>
              </a:rPr>
              <a:t>Rating category vs Customer reviews</a:t>
            </a:r>
          </a:p>
        </c:rich>
      </c:tx>
      <c:layout>
        <c:manualLayout>
          <c:xMode val="edge"/>
          <c:yMode val="edge"/>
          <c:x val="0.16131933508311461"/>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'Rating vs Reviews'!$B$3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285-49AA-BE13-9E785085F6CE}"/>
              </c:ext>
            </c:extLst>
          </c:dPt>
          <c:dPt>
            <c:idx val="1"/>
            <c:bubble3D val="0"/>
            <c:spPr>
              <a:solidFill>
                <a:schemeClr val="accent2"/>
              </a:solidFill>
              <a:ln>
                <a:noFill/>
              </a:ln>
              <a:effectLst/>
            </c:spPr>
            <c:extLst>
              <c:ext xmlns:c16="http://schemas.microsoft.com/office/drawing/2014/chart" uri="{C3380CC4-5D6E-409C-BE32-E72D297353CC}">
                <c16:uniqueId val="{00000003-6285-49AA-BE13-9E785085F6CE}"/>
              </c:ext>
            </c:extLst>
          </c:dPt>
          <c:dPt>
            <c:idx val="2"/>
            <c:bubble3D val="0"/>
            <c:spPr>
              <a:solidFill>
                <a:schemeClr val="accent3"/>
              </a:solidFill>
              <a:ln>
                <a:noFill/>
              </a:ln>
              <a:effectLst/>
            </c:spPr>
            <c:extLst>
              <c:ext xmlns:c16="http://schemas.microsoft.com/office/drawing/2014/chart" uri="{C3380CC4-5D6E-409C-BE32-E72D297353CC}">
                <c16:uniqueId val="{00000005-6285-49AA-BE13-9E785085F6CE}"/>
              </c:ext>
            </c:extLst>
          </c:dPt>
          <c:dPt>
            <c:idx val="3"/>
            <c:bubble3D val="0"/>
            <c:spPr>
              <a:solidFill>
                <a:schemeClr val="accent4"/>
              </a:solidFill>
              <a:ln>
                <a:noFill/>
              </a:ln>
              <a:effectLst/>
            </c:spPr>
            <c:extLst>
              <c:ext xmlns:c16="http://schemas.microsoft.com/office/drawing/2014/chart" uri="{C3380CC4-5D6E-409C-BE32-E72D297353CC}">
                <c16:uniqueId val="{00000007-E3EB-46B7-8414-C0E1CD11A1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'Rating vs Reviews'!$A$4:$A$7</c:f>
              <c:strCache>
                <c:ptCount val="3"/>
                <c:pt idx="0">
                  <c:v>Average</c:v>
                </c:pt>
                <c:pt idx="1">
                  <c:v>Excellent</c:v>
                </c:pt>
                <c:pt idx="2">
                  <c:v>Poor</c:v>
                </c:pt>
              </c:strCache>
            </c:strRef>
          </c:cat>
          <c:val>
            <c:numRef>
              <c:f>'Rating vs Reviews'!$B$4:$B$7</c:f>
              <c:numCache>
                <c:formatCode>General</c:formatCode>
                <c:ptCount val="3"/>
                <c:pt idx="0">
                  <c:v>26</c:v>
                </c:pt>
                <c:pt idx="1">
                  <c:v>19</c:v>
                </c:pt>
                <c:pt idx="2">
                  <c:v>12</c:v>
                </c:pt>
              </c:numCache>
            </c:numRef>
          </c:val>
          <c:extLst>
            <c:ext xmlns:c16="http://schemas.microsoft.com/office/drawing/2014/chart" uri="{C3380CC4-5D6E-409C-BE32-E72D297353CC}">
              <c16:uniqueId val="{00000006-6285-49AA-BE13-9E785085F6CE}"/>
            </c:ext>
          </c:extLst>
        </c:ser>
        <c:dLbls>
          <c:showLegendKey val="0"/>
          <c:showVal val="0"/>
          <c:showCatName val="0"/>
          <c:showSerName val="0"/>
          <c:showPercent val="0"/>
          <c:showBubbleSize val="0"/>
          <c:showLeaderLines val="1"/>
        </c:dLbls>
        <c:firstSliceAng val="0"/>
        <c:holeSize val="50"/>
      </c:doughnutChart>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Excel_jumia_dataset.xlsx]Price vs Rating!PivotTable1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chemeClr val="tx1"/>
                </a:solidFill>
                <a:latin typeface="+mn-lt"/>
              </a:rPr>
              <a:t>Rating</a:t>
            </a:r>
            <a:r>
              <a:rPr lang="en-US" sz="1400" b="1" baseline="0">
                <a:solidFill>
                  <a:schemeClr val="tx1"/>
                </a:solidFill>
                <a:latin typeface="+mn-lt"/>
              </a:rPr>
              <a:t> by Price Category</a:t>
            </a:r>
            <a:endParaRPr lang="en-US" sz="14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lt1">
                <a:alpha val="50000"/>
              </a:schemeClr>
            </a:solidFill>
            <a:round/>
          </a:ln>
          <a:effectLst/>
        </c:spPr>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9525" cap="flat" cmpd="sng" algn="ctr">
            <a:solidFill>
              <a:schemeClr val="lt1">
                <a:alpha val="50000"/>
              </a:schemeClr>
            </a:solidFill>
            <a:round/>
          </a:ln>
          <a:effectLst/>
        </c:spPr>
      </c:pivotFmt>
      <c:pivotFmt>
        <c:idx val="4"/>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'Price vs Rating'!$B$3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1-0532-402F-BDE2-880AA2A57C32}"/>
              </c:ext>
            </c:extLst>
          </c:dPt>
          <c:cat>
            <c:strRef>
              <c:f>'Price vs Rating'!$A$4:$A$8</c:f>
              <c:strCache>
                <c:ptCount val="4"/>
                <c:pt idx="0">
                  <c:v>Budget friendly</c:v>
                </c:pt>
                <c:pt idx="1">
                  <c:v>Premium</c:v>
                </c:pt>
                <c:pt idx="2">
                  <c:v>Value</c:v>
                </c:pt>
                <c:pt idx="3">
                  <c:v>(blank)</c:v>
                </c:pt>
              </c:strCache>
            </c:strRef>
          </c:cat>
          <c:val>
            <c:numRef>
              <c:f>'Price vs Rating'!$B$4:$B$8</c:f>
              <c:numCache>
                <c:formatCode>General</c:formatCode>
                <c:ptCount val="4"/>
                <c:pt idx="0">
                  <c:v>3.7593749999999999</c:v>
                </c:pt>
                <c:pt idx="1">
                  <c:v>4.08</c:v>
                </c:pt>
                <c:pt idx="2">
                  <c:v>4.0499999999999989</c:v>
                </c:pt>
              </c:numCache>
            </c:numRef>
          </c:val>
          <c:extLst>
            <c:ext xmlns:c16="http://schemas.microsoft.com/office/drawing/2014/chart" uri="{C3380CC4-5D6E-409C-BE32-E72D297353CC}">
              <c16:uniqueId val="{00000002-0532-402F-BDE2-880AA2A57C32}"/>
            </c:ext>
          </c:extLst>
        </c:ser>
        <c:dLbls>
          <c:showLegendKey val="0"/>
          <c:showVal val="0"/>
          <c:showCatName val="0"/>
          <c:showSerName val="0"/>
          <c:showPercent val="0"/>
          <c:showBubbleSize val="0"/>
        </c:dLbls>
        <c:gapWidth val="150"/>
        <c:overlap val="100"/>
        <c:axId val="1817380176"/>
        <c:axId val="951807408"/>
      </c:barChart>
      <c:catAx>
        <c:axId val="181738017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951807408"/>
        <c:crosses val="autoZero"/>
        <c:auto val="1"/>
        <c:lblAlgn val="ctr"/>
        <c:lblOffset val="100"/>
        <c:noMultiLvlLbl val="0"/>
      </c:catAx>
      <c:valAx>
        <c:axId val="9518074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817380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Excel_jumia_dataset.xlsx]High discount,low rating pdts!PivotTable5</c:name>
    <c:fmtId val="2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pivotFmt>
      <c:pivotFmt>
        <c:idx val="1"/>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029272157397"/>
          <c:y val="0.22301808893922001"/>
          <c:w val="0.51649698155609003"/>
          <c:h val="0.40148871154885174"/>
        </c:manualLayout>
      </c:layout>
      <c:barChart>
        <c:barDir val="col"/>
        <c:grouping val="clustered"/>
        <c:varyColors val="0"/>
        <c:ser>
          <c:idx val="0"/>
          <c:order val="0"/>
          <c:tx>
            <c:strRef>
              <c:f>'High discount,low rating pdts'!$B$6</c:f>
              <c:strCache>
                <c:ptCount val="1"/>
                <c:pt idx="0">
                  <c:v>Average of Discount(%)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'High discount,low rating pdts'!$A$7:$A$17</c:f>
              <c:strCache>
                <c:ptCount val="10"/>
                <c:pt idx="0">
                  <c:v>120W Cordless Vacuum Cleaners Handheld Electric Vacuum Cleaner</c:v>
                </c:pt>
                <c:pt idx="1">
                  <c:v>380ML USB Rechargeable Portable Small Blenders And Juicers</c:v>
                </c:pt>
                <c:pt idx="2">
                  <c:v>5-PCS Stainless Steel Cooking Pot Set With Steamed Slices</c:v>
                </c:pt>
                <c:pt idx="3">
                  <c:v>7-piece Set Of Storage Bags, Travel Storage Bags, Shoe Bags</c:v>
                </c:pt>
                <c:pt idx="4">
                  <c:v>Agapeon Toothbrush Holder And Toothpaste Dispenser</c:v>
                </c:pt>
                <c:pt idx="5">
                  <c:v>Artificial Potted Flowers Room Decorative Flowers (2 Pieces)</c:v>
                </c:pt>
                <c:pt idx="6">
                  <c:v>Electric LED UV Mosquito Killer Lamp, Outdoor/Indoor Fly Killer Trap Light -USB</c:v>
                </c:pt>
                <c:pt idx="7">
                  <c:v>Intelligent  LED Body Sensor Wireless Lighting Night Light USB</c:v>
                </c:pt>
                <c:pt idx="8">
                  <c:v>Wall-mounted Sticker Punch-free Plug Fixer</c:v>
                </c:pt>
                <c:pt idx="9">
                  <c:v>Watercolour Gold Foil Textured Print Pillow Cover</c:v>
                </c:pt>
              </c:strCache>
            </c:strRef>
          </c:cat>
          <c:val>
            <c:numRef>
              <c:f>'High discount,low rating pdts'!$B$7:$B$17</c:f>
              <c:numCache>
                <c:formatCode>General</c:formatCode>
                <c:ptCount val="10"/>
                <c:pt idx="0">
                  <c:v>0.49</c:v>
                </c:pt>
                <c:pt idx="1">
                  <c:v>0.5</c:v>
                </c:pt>
                <c:pt idx="2">
                  <c:v>0.55000000000000004</c:v>
                </c:pt>
                <c:pt idx="3">
                  <c:v>0.47</c:v>
                </c:pt>
                <c:pt idx="4">
                  <c:v>0.45</c:v>
                </c:pt>
                <c:pt idx="5">
                  <c:v>0.45</c:v>
                </c:pt>
                <c:pt idx="6">
                  <c:v>0.47</c:v>
                </c:pt>
                <c:pt idx="7">
                  <c:v>0.52</c:v>
                </c:pt>
                <c:pt idx="8">
                  <c:v>0.5</c:v>
                </c:pt>
                <c:pt idx="9">
                  <c:v>0.43</c:v>
                </c:pt>
              </c:numCache>
            </c:numRef>
          </c:val>
          <c:extLst>
            <c:ext xmlns:c16="http://schemas.microsoft.com/office/drawing/2014/chart" uri="{C3380CC4-5D6E-409C-BE32-E72D297353CC}">
              <c16:uniqueId val="{00000000-03C0-4F85-BDF6-AB6D7113321B}"/>
            </c:ext>
          </c:extLst>
        </c:ser>
        <c:dLbls>
          <c:showLegendKey val="0"/>
          <c:showVal val="0"/>
          <c:showCatName val="0"/>
          <c:showSerName val="0"/>
          <c:showPercent val="0"/>
          <c:showBubbleSize val="0"/>
        </c:dLbls>
        <c:gapWidth val="269"/>
        <c:overlap val="-27"/>
        <c:axId val="768326015"/>
        <c:axId val="2111500335"/>
      </c:barChart>
      <c:lineChart>
        <c:grouping val="standard"/>
        <c:varyColors val="0"/>
        <c:ser>
          <c:idx val="1"/>
          <c:order val="1"/>
          <c:tx>
            <c:strRef>
              <c:f>'High discount,low rating pdts'!$C$6</c:f>
              <c:strCache>
                <c:ptCount val="1"/>
                <c:pt idx="0">
                  <c:v>Average of Rating (out of 5)</c:v>
                </c:pt>
              </c:strCache>
            </c:strRef>
          </c:tx>
          <c:spPr>
            <a:ln w="28575" cap="rnd">
              <a:solidFill>
                <a:schemeClr val="accent2"/>
              </a:solidFill>
              <a:round/>
            </a:ln>
            <a:effectLst/>
          </c:spPr>
          <c:marker>
            <c:symbol val="circle"/>
            <c:size val="6"/>
            <c:spPr>
              <a:solidFill>
                <a:schemeClr val="accent2"/>
              </a:solidFill>
              <a:ln>
                <a:noFill/>
              </a:ln>
              <a:effectLst/>
            </c:spPr>
          </c:marker>
          <c:cat>
            <c:strRef>
              <c:f>'High discount,low rating pdts'!$A$7:$A$17</c:f>
              <c:strCache>
                <c:ptCount val="10"/>
                <c:pt idx="0">
                  <c:v>120W Cordless Vacuum Cleaners Handheld Electric Vacuum Cleaner</c:v>
                </c:pt>
                <c:pt idx="1">
                  <c:v>380ML USB Rechargeable Portable Small Blenders And Juicers</c:v>
                </c:pt>
                <c:pt idx="2">
                  <c:v>5-PCS Stainless Steel Cooking Pot Set With Steamed Slices</c:v>
                </c:pt>
                <c:pt idx="3">
                  <c:v>7-piece Set Of Storage Bags, Travel Storage Bags, Shoe Bags</c:v>
                </c:pt>
                <c:pt idx="4">
                  <c:v>Agapeon Toothbrush Holder And Toothpaste Dispenser</c:v>
                </c:pt>
                <c:pt idx="5">
                  <c:v>Artificial Potted Flowers Room Decorative Flowers (2 Pieces)</c:v>
                </c:pt>
                <c:pt idx="6">
                  <c:v>Electric LED UV Mosquito Killer Lamp, Outdoor/Indoor Fly Killer Trap Light -USB</c:v>
                </c:pt>
                <c:pt idx="7">
                  <c:v>Intelligent  LED Body Sensor Wireless Lighting Night Light USB</c:v>
                </c:pt>
                <c:pt idx="8">
                  <c:v>Wall-mounted Sticker Punch-free Plug Fixer</c:v>
                </c:pt>
                <c:pt idx="9">
                  <c:v>Watercolour Gold Foil Textured Print Pillow Cover</c:v>
                </c:pt>
              </c:strCache>
            </c:strRef>
          </c:cat>
          <c:val>
            <c:numRef>
              <c:f>'High discount,low rating pdts'!$C$7:$C$17</c:f>
              <c:numCache>
                <c:formatCode>General</c:formatCode>
                <c:ptCount val="10"/>
                <c:pt idx="0">
                  <c:v>2.8</c:v>
                </c:pt>
                <c:pt idx="1">
                  <c:v>2.2999999999999998</c:v>
                </c:pt>
                <c:pt idx="2">
                  <c:v>2.1</c:v>
                </c:pt>
                <c:pt idx="3">
                  <c:v>2.2000000000000002</c:v>
                </c:pt>
                <c:pt idx="4">
                  <c:v>2.6</c:v>
                </c:pt>
                <c:pt idx="5">
                  <c:v>2.2000000000000002</c:v>
                </c:pt>
                <c:pt idx="6">
                  <c:v>2.1</c:v>
                </c:pt>
                <c:pt idx="7">
                  <c:v>2.7</c:v>
                </c:pt>
                <c:pt idx="8">
                  <c:v>2</c:v>
                </c:pt>
                <c:pt idx="9">
                  <c:v>2.2999999999999998</c:v>
                </c:pt>
              </c:numCache>
            </c:numRef>
          </c:val>
          <c:smooth val="0"/>
          <c:extLst>
            <c:ext xmlns:c16="http://schemas.microsoft.com/office/drawing/2014/chart" uri="{C3380CC4-5D6E-409C-BE32-E72D297353CC}">
              <c16:uniqueId val="{00000001-03C0-4F85-BDF6-AB6D7113321B}"/>
            </c:ext>
          </c:extLst>
        </c:ser>
        <c:dLbls>
          <c:showLegendKey val="0"/>
          <c:showVal val="0"/>
          <c:showCatName val="0"/>
          <c:showSerName val="0"/>
          <c:showPercent val="0"/>
          <c:showBubbleSize val="0"/>
        </c:dLbls>
        <c:marker val="1"/>
        <c:smooth val="0"/>
        <c:axId val="768351535"/>
        <c:axId val="2111494095"/>
      </c:lineChart>
      <c:catAx>
        <c:axId val="7683260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b="1">
                    <a:solidFill>
                      <a:schemeClr val="tx1"/>
                    </a:solidFill>
                  </a:rPr>
                  <a:t>Product</a:t>
                </a:r>
                <a:r>
                  <a:rPr lang="en-US" sz="1100" b="1" baseline="0">
                    <a:solidFill>
                      <a:schemeClr val="tx1"/>
                    </a:solidFill>
                  </a:rPr>
                  <a:t> names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1500335"/>
        <c:crosses val="autoZero"/>
        <c:auto val="1"/>
        <c:lblAlgn val="ctr"/>
        <c:lblOffset val="100"/>
        <c:noMultiLvlLbl val="0"/>
      </c:catAx>
      <c:valAx>
        <c:axId val="2111500335"/>
        <c:scaling>
          <c:orientation val="minMax"/>
        </c:scaling>
        <c:delete val="0"/>
        <c:axPos val="l"/>
        <c:majorGridlines>
          <c:spPr>
            <a:ln>
              <a:solidFill>
                <a:schemeClr val="tx1">
                  <a:lumMod val="15000"/>
                  <a:lumOff val="85000"/>
                </a:schemeClr>
              </a:solidFill>
            </a:ln>
            <a:effectLst/>
          </c:spPr>
        </c:majorGridlines>
        <c:title>
          <c:tx>
            <c:rich>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solidFill>
                      <a:schemeClr val="tx1"/>
                    </a:solidFill>
                  </a:rPr>
                  <a:t>Discount</a:t>
                </a:r>
                <a:br>
                  <a:rPr lang="en-US" sz="1000" baseline="0">
                    <a:solidFill>
                      <a:schemeClr val="tx1"/>
                    </a:solidFill>
                  </a:rPr>
                </a:br>
                <a:r>
                  <a:rPr lang="en-US" sz="1000" baseline="0">
                    <a:solidFill>
                      <a:schemeClr val="tx1"/>
                    </a:solidFill>
                  </a:rPr>
                  <a:t>%</a:t>
                </a:r>
              </a:p>
            </c:rich>
          </c:tx>
          <c:overlay val="0"/>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8326015"/>
        <c:crosses val="autoZero"/>
        <c:crossBetween val="between"/>
      </c:valAx>
      <c:valAx>
        <c:axId val="2111494095"/>
        <c:scaling>
          <c:orientation val="minMax"/>
        </c:scaling>
        <c:delete val="0"/>
        <c:axPos val="r"/>
        <c:title>
          <c:tx>
            <c:rich>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b="1">
                    <a:solidFill>
                      <a:schemeClr val="tx1"/>
                    </a:solidFill>
                  </a:rPr>
                  <a:t>Rating</a:t>
                </a:r>
                <a:br>
                  <a:rPr lang="en-US" sz="1000" b="1">
                    <a:solidFill>
                      <a:schemeClr val="tx1"/>
                    </a:solidFill>
                  </a:rPr>
                </a:br>
                <a:r>
                  <a:rPr lang="en-US" sz="1000" b="1">
                    <a:solidFill>
                      <a:schemeClr val="tx1"/>
                    </a:solidFill>
                  </a:rPr>
                  <a:t>(Out</a:t>
                </a:r>
                <a:r>
                  <a:rPr lang="en-US" sz="1000" b="1" baseline="0">
                    <a:solidFill>
                      <a:schemeClr val="tx1"/>
                    </a:solidFill>
                  </a:rPr>
                  <a:t> of 5)</a:t>
                </a:r>
                <a:endParaRPr lang="en-US" sz="1000" b="1">
                  <a:solidFill>
                    <a:schemeClr val="tx1"/>
                  </a:solidFill>
                </a:endParaRPr>
              </a:p>
            </c:rich>
          </c:tx>
          <c:overlay val="0"/>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8351535"/>
        <c:crosses val="max"/>
        <c:crossBetween val="between"/>
      </c:valAx>
      <c:catAx>
        <c:axId val="768351535"/>
        <c:scaling>
          <c:orientation val="minMax"/>
        </c:scaling>
        <c:delete val="1"/>
        <c:axPos val="b"/>
        <c:numFmt formatCode="General" sourceLinked="1"/>
        <c:majorTickMark val="none"/>
        <c:minorTickMark val="none"/>
        <c:tickLblPos val="nextTo"/>
        <c:crossAx val="2111494095"/>
        <c:crosses val="autoZero"/>
        <c:auto val="1"/>
        <c:lblAlgn val="ctr"/>
        <c:lblOffset val="100"/>
        <c:noMultiLvlLbl val="0"/>
      </c:catAx>
      <c:spPr>
        <a:noFill/>
        <a:ln>
          <a:noFill/>
        </a:ln>
        <a:effectLst/>
      </c:spPr>
    </c:plotArea>
    <c:legend>
      <c:legendPos val="r"/>
      <c:layout>
        <c:manualLayout>
          <c:xMode val="edge"/>
          <c:yMode val="edge"/>
          <c:x val="0.77685239556919794"/>
          <c:y val="0.44316987834296218"/>
          <c:w val="0.13595362669638178"/>
          <c:h val="0.40628594211951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Product Perfromance Dashboard Excel_jumia_dataset.xlsx]Discount vs Reviews!PivotTable2</c:name>
    <c:fmtId val="0"/>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sz="1400" b="1">
                <a:solidFill>
                  <a:schemeClr val="tx1"/>
                </a:solidFill>
                <a:latin typeface="+mn-lt"/>
              </a:rPr>
              <a:t>Discount</a:t>
            </a:r>
            <a:r>
              <a:rPr lang="en-US" sz="1400" b="1" baseline="0">
                <a:solidFill>
                  <a:schemeClr val="tx1"/>
                </a:solidFill>
                <a:latin typeface="+mn-lt"/>
              </a:rPr>
              <a:t> category vs Customer reviews</a:t>
            </a:r>
            <a:endParaRPr lang="en-US" sz="1400" b="1">
              <a:solidFill>
                <a:schemeClr val="tx1"/>
              </a:solidFill>
              <a:latin typeface="+mn-lt"/>
            </a:endParaRPr>
          </a:p>
        </c:rich>
      </c:tx>
      <c:layout>
        <c:manualLayout>
          <c:xMode val="edge"/>
          <c:yMode val="edge"/>
          <c:x val="0.16131933508311461"/>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vs Reviews'!$B$3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'Discount vs Reviews'!$A$4:$A$8</c:f>
              <c:strCache>
                <c:ptCount val="4"/>
                <c:pt idx="0">
                  <c:v>High discount</c:v>
                </c:pt>
                <c:pt idx="1">
                  <c:v>Low discount</c:v>
                </c:pt>
                <c:pt idx="2">
                  <c:v>Medium discount</c:v>
                </c:pt>
                <c:pt idx="3">
                  <c:v>(blank)</c:v>
                </c:pt>
              </c:strCache>
            </c:strRef>
          </c:cat>
          <c:val>
            <c:numRef>
              <c:f>'Discount vs Reviews'!$B$4:$B$8</c:f>
              <c:numCache>
                <c:formatCode>General</c:formatCode>
                <c:ptCount val="4"/>
                <c:pt idx="0">
                  <c:v>30</c:v>
                </c:pt>
                <c:pt idx="1">
                  <c:v>4</c:v>
                </c:pt>
                <c:pt idx="2">
                  <c:v>23</c:v>
                </c:pt>
              </c:numCache>
            </c:numRef>
          </c:val>
          <c:extLst>
            <c:ext xmlns:c16="http://schemas.microsoft.com/office/drawing/2014/chart" uri="{C3380CC4-5D6E-409C-BE32-E72D297353CC}">
              <c16:uniqueId val="{00000000-2D28-4468-A416-8766EEEFE3C0}"/>
            </c:ext>
          </c:extLst>
        </c:ser>
        <c:dLbls>
          <c:dLblPos val="outEnd"/>
          <c:showLegendKey val="0"/>
          <c:showVal val="1"/>
          <c:showCatName val="0"/>
          <c:showSerName val="0"/>
          <c:showPercent val="0"/>
          <c:showBubbleSize val="0"/>
        </c:dLbls>
        <c:gapWidth val="267"/>
        <c:overlap val="-43"/>
        <c:axId val="1200690319"/>
        <c:axId val="942944111"/>
      </c:barChart>
      <c:catAx>
        <c:axId val="12006903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KE"/>
          </a:p>
        </c:txPr>
        <c:crossAx val="942944111"/>
        <c:crosses val="autoZero"/>
        <c:auto val="1"/>
        <c:lblAlgn val="ctr"/>
        <c:lblOffset val="100"/>
        <c:noMultiLvlLbl val="0"/>
      </c:catAx>
      <c:valAx>
        <c:axId val="94294411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crossAx val="1200690319"/>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Excel_jumia_dataset.xlsx]Rating vs Reviews!PivotTable4</c:name>
    <c:fmtId val="0"/>
  </c:pivotSource>
  <c:chart>
    <c:title>
      <c:tx>
        <c:rich>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r>
              <a:rPr lang="en-US" sz="1400" b="1">
                <a:solidFill>
                  <a:schemeClr val="tx1"/>
                </a:solidFill>
                <a:latin typeface="+mn-lt"/>
              </a:rPr>
              <a:t>Rating category vs Consumer reviews</a:t>
            </a:r>
          </a:p>
        </c:rich>
      </c:tx>
      <c:layout>
        <c:manualLayout>
          <c:xMode val="edge"/>
          <c:yMode val="edge"/>
          <c:x val="0.16131933508311461"/>
          <c:y val="0.1100904053659959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tx1"/>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s>
    <c:plotArea>
      <c:layout/>
      <c:doughnutChart>
        <c:varyColors val="1"/>
        <c:ser>
          <c:idx val="0"/>
          <c:order val="0"/>
          <c:tx>
            <c:strRef>
              <c:f>'Rating vs Reviews'!$B$3</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AF10-4F3E-AFF4-969DEE0F4455}"/>
              </c:ext>
            </c:extLst>
          </c:dPt>
          <c:dPt>
            <c:idx val="1"/>
            <c:bubble3D val="0"/>
            <c:spPr>
              <a:solidFill>
                <a:schemeClr val="accent4"/>
              </a:solidFill>
              <a:ln>
                <a:noFill/>
              </a:ln>
              <a:effectLst/>
            </c:spPr>
            <c:extLst>
              <c:ext xmlns:c16="http://schemas.microsoft.com/office/drawing/2014/chart" uri="{C3380CC4-5D6E-409C-BE32-E72D297353CC}">
                <c16:uniqueId val="{00000003-AF10-4F3E-AFF4-969DEE0F4455}"/>
              </c:ext>
            </c:extLst>
          </c:dPt>
          <c:dPt>
            <c:idx val="2"/>
            <c:bubble3D val="0"/>
            <c:spPr>
              <a:solidFill>
                <a:schemeClr val="accent6"/>
              </a:solidFill>
              <a:ln>
                <a:noFill/>
              </a:ln>
              <a:effectLst/>
            </c:spPr>
            <c:extLst>
              <c:ext xmlns:c16="http://schemas.microsoft.com/office/drawing/2014/chart" uri="{C3380CC4-5D6E-409C-BE32-E72D297353CC}">
                <c16:uniqueId val="{00000005-AF10-4F3E-AFF4-969DEE0F4455}"/>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AF10-4F3E-AFF4-969DEE0F44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'Rating vs Reviews'!$A$4:$A$7</c:f>
              <c:strCache>
                <c:ptCount val="3"/>
                <c:pt idx="0">
                  <c:v>Average</c:v>
                </c:pt>
                <c:pt idx="1">
                  <c:v>Excellent</c:v>
                </c:pt>
                <c:pt idx="2">
                  <c:v>Poor</c:v>
                </c:pt>
              </c:strCache>
            </c:strRef>
          </c:cat>
          <c:val>
            <c:numRef>
              <c:f>'Rating vs Reviews'!$B$4:$B$7</c:f>
              <c:numCache>
                <c:formatCode>General</c:formatCode>
                <c:ptCount val="3"/>
                <c:pt idx="0">
                  <c:v>26</c:v>
                </c:pt>
                <c:pt idx="1">
                  <c:v>19</c:v>
                </c:pt>
                <c:pt idx="2">
                  <c:v>12</c:v>
                </c:pt>
              </c:numCache>
            </c:numRef>
          </c:val>
          <c:extLst>
            <c:ext xmlns:c16="http://schemas.microsoft.com/office/drawing/2014/chart" uri="{C3380CC4-5D6E-409C-BE32-E72D297353CC}">
              <c16:uniqueId val="{00000007-6D3E-4F77-9CE3-3B4C4959A8CB}"/>
            </c:ext>
          </c:extLst>
        </c:ser>
        <c:dLbls>
          <c:showLegendKey val="0"/>
          <c:showVal val="0"/>
          <c:showCatName val="0"/>
          <c:showSerName val="0"/>
          <c:showPercent val="0"/>
          <c:showBubbleSize val="0"/>
          <c:showLeaderLines val="1"/>
        </c:dLbls>
        <c:firstSliceAng val="0"/>
        <c:holeSize val="50"/>
      </c:doughnutChart>
      <c:spPr>
        <a:solidFill>
          <a:schemeClr val="lt1"/>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chart>
  <c:spPr>
    <a:solidFill>
      <a:schemeClr val="lt1"/>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Excel_jumia_dataset.xlsx]Price vs Rating!PivotTable1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b="1">
                <a:solidFill>
                  <a:schemeClr val="tx1"/>
                </a:solidFill>
                <a:latin typeface="+mn-lt"/>
              </a:rPr>
              <a:t>Rating</a:t>
            </a:r>
            <a:r>
              <a:rPr lang="en-US" sz="1400" b="1" baseline="0">
                <a:solidFill>
                  <a:schemeClr val="tx1"/>
                </a:solidFill>
                <a:latin typeface="+mn-lt"/>
              </a:rPr>
              <a:t> by price range</a:t>
            </a:r>
            <a:endParaRPr lang="en-US" sz="1400" b="1">
              <a:solidFill>
                <a:schemeClr val="tx1"/>
              </a:solidFill>
              <a:latin typeface="+mn-lt"/>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9525" cap="flat" cmpd="sng" algn="ctr">
            <a:solidFill>
              <a:schemeClr val="lt1">
                <a:alpha val="50000"/>
              </a:schemeClr>
            </a:solidFill>
            <a:round/>
          </a:ln>
          <a:effectLst/>
        </c:spPr>
      </c:pivotFmt>
    </c:pivotFmts>
    <c:plotArea>
      <c:layout/>
      <c:barChart>
        <c:barDir val="col"/>
        <c:grouping val="stacked"/>
        <c:varyColors val="0"/>
        <c:ser>
          <c:idx val="0"/>
          <c:order val="0"/>
          <c:tx>
            <c:strRef>
              <c:f>'Price vs Rating'!$B$3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Pt>
            <c:idx val="0"/>
            <c:invertIfNegative val="0"/>
            <c:bubble3D val="0"/>
            <c:spPr>
              <a:solidFill>
                <a:schemeClr val="accent2"/>
              </a:solidFill>
              <a:ln w="9525" cap="flat" cmpd="sng" algn="ctr">
                <a:solidFill>
                  <a:schemeClr val="lt1">
                    <a:alpha val="50000"/>
                  </a:schemeClr>
                </a:solidFill>
                <a:round/>
              </a:ln>
              <a:effectLst/>
            </c:spPr>
            <c:extLst>
              <c:ext xmlns:c16="http://schemas.microsoft.com/office/drawing/2014/chart" uri="{C3380CC4-5D6E-409C-BE32-E72D297353CC}">
                <c16:uniqueId val="{00000002-4FC1-4AE7-9B14-E82A48AAA993}"/>
              </c:ext>
            </c:extLst>
          </c:dPt>
          <c:cat>
            <c:strRef>
              <c:f>'Price vs Rating'!$A$4:$A$8</c:f>
              <c:strCache>
                <c:ptCount val="4"/>
                <c:pt idx="0">
                  <c:v>Budget friendly</c:v>
                </c:pt>
                <c:pt idx="1">
                  <c:v>Premium</c:v>
                </c:pt>
                <c:pt idx="2">
                  <c:v>Value</c:v>
                </c:pt>
                <c:pt idx="3">
                  <c:v>(blank)</c:v>
                </c:pt>
              </c:strCache>
            </c:strRef>
          </c:cat>
          <c:val>
            <c:numRef>
              <c:f>'Price vs Rating'!$B$4:$B$8</c:f>
              <c:numCache>
                <c:formatCode>General</c:formatCode>
                <c:ptCount val="4"/>
                <c:pt idx="0">
                  <c:v>3.7593749999999999</c:v>
                </c:pt>
                <c:pt idx="1">
                  <c:v>4.08</c:v>
                </c:pt>
                <c:pt idx="2">
                  <c:v>4.0499999999999989</c:v>
                </c:pt>
              </c:numCache>
            </c:numRef>
          </c:val>
          <c:extLst>
            <c:ext xmlns:c16="http://schemas.microsoft.com/office/drawing/2014/chart" uri="{C3380CC4-5D6E-409C-BE32-E72D297353CC}">
              <c16:uniqueId val="{00000000-4FC1-4AE7-9B14-E82A48AAA993}"/>
            </c:ext>
          </c:extLst>
        </c:ser>
        <c:dLbls>
          <c:showLegendKey val="0"/>
          <c:showVal val="0"/>
          <c:showCatName val="0"/>
          <c:showSerName val="0"/>
          <c:showPercent val="0"/>
          <c:showBubbleSize val="0"/>
        </c:dLbls>
        <c:gapWidth val="150"/>
        <c:overlap val="100"/>
        <c:axId val="1817380176"/>
        <c:axId val="951807408"/>
      </c:barChart>
      <c:catAx>
        <c:axId val="181738017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KE"/>
          </a:p>
        </c:txPr>
        <c:crossAx val="951807408"/>
        <c:crosses val="autoZero"/>
        <c:auto val="1"/>
        <c:lblAlgn val="ctr"/>
        <c:lblOffset val="100"/>
        <c:noMultiLvlLbl val="0"/>
      </c:catAx>
      <c:valAx>
        <c:axId val="9518074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crossAx val="18173801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Excel_jumia_dataset.xlsx]High discount,low rating pdts!PivotTable5</c:name>
    <c:fmtId val="0"/>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8029272157397"/>
          <c:y val="0.22301808893922001"/>
          <c:w val="0.51649698155609003"/>
          <c:h val="0.40148871154885174"/>
        </c:manualLayout>
      </c:layout>
      <c:barChart>
        <c:barDir val="col"/>
        <c:grouping val="clustered"/>
        <c:varyColors val="0"/>
        <c:ser>
          <c:idx val="0"/>
          <c:order val="0"/>
          <c:tx>
            <c:strRef>
              <c:f>'High discount,low rating pdts'!$B$6</c:f>
              <c:strCache>
                <c:ptCount val="1"/>
                <c:pt idx="0">
                  <c:v>Average of Discount(%)</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'High discount,low rating pdts'!$A$7:$A$17</c:f>
              <c:strCache>
                <c:ptCount val="10"/>
                <c:pt idx="0">
                  <c:v>120W Cordless Vacuum Cleaners Handheld Electric Vacuum Cleaner</c:v>
                </c:pt>
                <c:pt idx="1">
                  <c:v>380ML USB Rechargeable Portable Small Blenders And Juicers</c:v>
                </c:pt>
                <c:pt idx="2">
                  <c:v>5-PCS Stainless Steel Cooking Pot Set With Steamed Slices</c:v>
                </c:pt>
                <c:pt idx="3">
                  <c:v>7-piece Set Of Storage Bags, Travel Storage Bags, Shoe Bags</c:v>
                </c:pt>
                <c:pt idx="4">
                  <c:v>Agapeon Toothbrush Holder And Toothpaste Dispenser</c:v>
                </c:pt>
                <c:pt idx="5">
                  <c:v>Artificial Potted Flowers Room Decorative Flowers (2 Pieces)</c:v>
                </c:pt>
                <c:pt idx="6">
                  <c:v>Electric LED UV Mosquito Killer Lamp, Outdoor/Indoor Fly Killer Trap Light -USB</c:v>
                </c:pt>
                <c:pt idx="7">
                  <c:v>Intelligent  LED Body Sensor Wireless Lighting Night Light USB</c:v>
                </c:pt>
                <c:pt idx="8">
                  <c:v>Wall-mounted Sticker Punch-free Plug Fixer</c:v>
                </c:pt>
                <c:pt idx="9">
                  <c:v>Watercolour Gold Foil Textured Print Pillow Cover</c:v>
                </c:pt>
              </c:strCache>
            </c:strRef>
          </c:cat>
          <c:val>
            <c:numRef>
              <c:f>'High discount,low rating pdts'!$B$7:$B$17</c:f>
              <c:numCache>
                <c:formatCode>General</c:formatCode>
                <c:ptCount val="10"/>
                <c:pt idx="0">
                  <c:v>0.49</c:v>
                </c:pt>
                <c:pt idx="1">
                  <c:v>0.5</c:v>
                </c:pt>
                <c:pt idx="2">
                  <c:v>0.55000000000000004</c:v>
                </c:pt>
                <c:pt idx="3">
                  <c:v>0.47</c:v>
                </c:pt>
                <c:pt idx="4">
                  <c:v>0.45</c:v>
                </c:pt>
                <c:pt idx="5">
                  <c:v>0.45</c:v>
                </c:pt>
                <c:pt idx="6">
                  <c:v>0.47</c:v>
                </c:pt>
                <c:pt idx="7">
                  <c:v>0.52</c:v>
                </c:pt>
                <c:pt idx="8">
                  <c:v>0.5</c:v>
                </c:pt>
                <c:pt idx="9">
                  <c:v>0.43</c:v>
                </c:pt>
              </c:numCache>
            </c:numRef>
          </c:val>
          <c:extLst>
            <c:ext xmlns:c16="http://schemas.microsoft.com/office/drawing/2014/chart" uri="{C3380CC4-5D6E-409C-BE32-E72D297353CC}">
              <c16:uniqueId val="{00000000-267D-477E-A91D-28C40B52B602}"/>
            </c:ext>
          </c:extLst>
        </c:ser>
        <c:dLbls>
          <c:showLegendKey val="0"/>
          <c:showVal val="0"/>
          <c:showCatName val="0"/>
          <c:showSerName val="0"/>
          <c:showPercent val="0"/>
          <c:showBubbleSize val="0"/>
        </c:dLbls>
        <c:gapWidth val="269"/>
        <c:overlap val="-27"/>
        <c:axId val="768326015"/>
        <c:axId val="2111500335"/>
      </c:barChart>
      <c:lineChart>
        <c:grouping val="standard"/>
        <c:varyColors val="0"/>
        <c:ser>
          <c:idx val="1"/>
          <c:order val="1"/>
          <c:tx>
            <c:strRef>
              <c:f>'High discount,low rating pdts'!$C$6</c:f>
              <c:strCache>
                <c:ptCount val="1"/>
                <c:pt idx="0">
                  <c:v>Average of Rating (out of 5)</c:v>
                </c:pt>
              </c:strCache>
            </c:strRef>
          </c:tx>
          <c:spPr>
            <a:ln w="28575" cap="rnd">
              <a:solidFill>
                <a:schemeClr val="accent2"/>
              </a:solidFill>
              <a:round/>
            </a:ln>
            <a:effectLst/>
          </c:spPr>
          <c:marker>
            <c:symbol val="circle"/>
            <c:size val="6"/>
            <c:spPr>
              <a:solidFill>
                <a:schemeClr val="accent2"/>
              </a:solidFill>
              <a:ln>
                <a:noFill/>
              </a:ln>
              <a:effectLst/>
            </c:spPr>
          </c:marker>
          <c:cat>
            <c:strRef>
              <c:f>'High discount,low rating pdts'!$A$7:$A$17</c:f>
              <c:strCache>
                <c:ptCount val="10"/>
                <c:pt idx="0">
                  <c:v>120W Cordless Vacuum Cleaners Handheld Electric Vacuum Cleaner</c:v>
                </c:pt>
                <c:pt idx="1">
                  <c:v>380ML USB Rechargeable Portable Small Blenders And Juicers</c:v>
                </c:pt>
                <c:pt idx="2">
                  <c:v>5-PCS Stainless Steel Cooking Pot Set With Steamed Slices</c:v>
                </c:pt>
                <c:pt idx="3">
                  <c:v>7-piece Set Of Storage Bags, Travel Storage Bags, Shoe Bags</c:v>
                </c:pt>
                <c:pt idx="4">
                  <c:v>Agapeon Toothbrush Holder And Toothpaste Dispenser</c:v>
                </c:pt>
                <c:pt idx="5">
                  <c:v>Artificial Potted Flowers Room Decorative Flowers (2 Pieces)</c:v>
                </c:pt>
                <c:pt idx="6">
                  <c:v>Electric LED UV Mosquito Killer Lamp, Outdoor/Indoor Fly Killer Trap Light -USB</c:v>
                </c:pt>
                <c:pt idx="7">
                  <c:v>Intelligent  LED Body Sensor Wireless Lighting Night Light USB</c:v>
                </c:pt>
                <c:pt idx="8">
                  <c:v>Wall-mounted Sticker Punch-free Plug Fixer</c:v>
                </c:pt>
                <c:pt idx="9">
                  <c:v>Watercolour Gold Foil Textured Print Pillow Cover</c:v>
                </c:pt>
              </c:strCache>
            </c:strRef>
          </c:cat>
          <c:val>
            <c:numRef>
              <c:f>'High discount,low rating pdts'!$C$7:$C$17</c:f>
              <c:numCache>
                <c:formatCode>General</c:formatCode>
                <c:ptCount val="10"/>
                <c:pt idx="0">
                  <c:v>2.8</c:v>
                </c:pt>
                <c:pt idx="1">
                  <c:v>2.2999999999999998</c:v>
                </c:pt>
                <c:pt idx="2">
                  <c:v>2.1</c:v>
                </c:pt>
                <c:pt idx="3">
                  <c:v>2.2000000000000002</c:v>
                </c:pt>
                <c:pt idx="4">
                  <c:v>2.6</c:v>
                </c:pt>
                <c:pt idx="5">
                  <c:v>2.2000000000000002</c:v>
                </c:pt>
                <c:pt idx="6">
                  <c:v>2.1</c:v>
                </c:pt>
                <c:pt idx="7">
                  <c:v>2.7</c:v>
                </c:pt>
                <c:pt idx="8">
                  <c:v>2</c:v>
                </c:pt>
                <c:pt idx="9">
                  <c:v>2.2999999999999998</c:v>
                </c:pt>
              </c:numCache>
            </c:numRef>
          </c:val>
          <c:smooth val="0"/>
          <c:extLst>
            <c:ext xmlns:c16="http://schemas.microsoft.com/office/drawing/2014/chart" uri="{C3380CC4-5D6E-409C-BE32-E72D297353CC}">
              <c16:uniqueId val="{00000001-267D-477E-A91D-28C40B52B602}"/>
            </c:ext>
          </c:extLst>
        </c:ser>
        <c:dLbls>
          <c:showLegendKey val="0"/>
          <c:showVal val="0"/>
          <c:showCatName val="0"/>
          <c:showSerName val="0"/>
          <c:showPercent val="0"/>
          <c:showBubbleSize val="0"/>
        </c:dLbls>
        <c:marker val="1"/>
        <c:smooth val="0"/>
        <c:axId val="768351535"/>
        <c:axId val="2111494095"/>
      </c:lineChart>
      <c:catAx>
        <c:axId val="76832601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100" b="1">
                    <a:solidFill>
                      <a:schemeClr val="tx1"/>
                    </a:solidFill>
                  </a:rPr>
                  <a:t>Product</a:t>
                </a:r>
                <a:r>
                  <a:rPr lang="en-US" sz="1100" b="1" baseline="0">
                    <a:solidFill>
                      <a:schemeClr val="tx1"/>
                    </a:solidFill>
                  </a:rPr>
                  <a:t> names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111500335"/>
        <c:crosses val="autoZero"/>
        <c:auto val="1"/>
        <c:lblAlgn val="ctr"/>
        <c:lblOffset val="100"/>
        <c:noMultiLvlLbl val="0"/>
      </c:catAx>
      <c:valAx>
        <c:axId val="2111500335"/>
        <c:scaling>
          <c:orientation val="minMax"/>
        </c:scaling>
        <c:delete val="0"/>
        <c:axPos val="l"/>
        <c:majorGridlines>
          <c:spPr>
            <a:ln>
              <a:solidFill>
                <a:schemeClr val="tx1">
                  <a:lumMod val="15000"/>
                  <a:lumOff val="85000"/>
                </a:schemeClr>
              </a:solidFill>
            </a:ln>
            <a:effectLst/>
          </c:spPr>
        </c:majorGridlines>
        <c:title>
          <c:tx>
            <c:rich>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a:solidFill>
                      <a:schemeClr val="tx1"/>
                    </a:solidFill>
                  </a:rPr>
                  <a:t>Discount</a:t>
                </a:r>
                <a:br>
                  <a:rPr lang="en-US" sz="1000" baseline="0">
                    <a:solidFill>
                      <a:schemeClr val="tx1"/>
                    </a:solidFill>
                  </a:rPr>
                </a:br>
                <a:r>
                  <a:rPr lang="en-US" sz="1000" baseline="0">
                    <a:solidFill>
                      <a:schemeClr val="tx1"/>
                    </a:solidFill>
                  </a:rPr>
                  <a:t>%</a:t>
                </a:r>
              </a:p>
            </c:rich>
          </c:tx>
          <c:overlay val="0"/>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8326015"/>
        <c:crosses val="autoZero"/>
        <c:crossBetween val="between"/>
      </c:valAx>
      <c:valAx>
        <c:axId val="2111494095"/>
        <c:scaling>
          <c:orientation val="minMax"/>
        </c:scaling>
        <c:delete val="0"/>
        <c:axPos val="r"/>
        <c:title>
          <c:tx>
            <c:rich>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1000" b="1">
                    <a:solidFill>
                      <a:schemeClr val="tx1"/>
                    </a:solidFill>
                  </a:rPr>
                  <a:t>Rating</a:t>
                </a:r>
                <a:br>
                  <a:rPr lang="en-US" sz="1000" b="1">
                    <a:solidFill>
                      <a:schemeClr val="tx1"/>
                    </a:solidFill>
                  </a:rPr>
                </a:br>
                <a:r>
                  <a:rPr lang="en-US" sz="1000" b="1">
                    <a:solidFill>
                      <a:schemeClr val="tx1"/>
                    </a:solidFill>
                  </a:rPr>
                  <a:t>(Out</a:t>
                </a:r>
                <a:r>
                  <a:rPr lang="en-US" sz="1000" b="1" baseline="0">
                    <a:solidFill>
                      <a:schemeClr val="tx1"/>
                    </a:solidFill>
                  </a:rPr>
                  <a:t> of 5)</a:t>
                </a:r>
                <a:endParaRPr lang="en-US" sz="1000" b="1">
                  <a:solidFill>
                    <a:schemeClr val="tx1"/>
                  </a:solidFill>
                </a:endParaRPr>
              </a:p>
            </c:rich>
          </c:tx>
          <c:overlay val="0"/>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8351535"/>
        <c:crosses val="max"/>
        <c:crossBetween val="between"/>
      </c:valAx>
      <c:catAx>
        <c:axId val="768351535"/>
        <c:scaling>
          <c:orientation val="minMax"/>
        </c:scaling>
        <c:delete val="1"/>
        <c:axPos val="b"/>
        <c:numFmt formatCode="General" sourceLinked="1"/>
        <c:majorTickMark val="none"/>
        <c:minorTickMark val="none"/>
        <c:tickLblPos val="nextTo"/>
        <c:crossAx val="2111494095"/>
        <c:crosses val="autoZero"/>
        <c:auto val="1"/>
        <c:lblAlgn val="ctr"/>
        <c:lblOffset val="100"/>
        <c:noMultiLvlLbl val="0"/>
      </c:catAx>
      <c:spPr>
        <a:noFill/>
        <a:ln>
          <a:noFill/>
        </a:ln>
        <a:effectLst/>
      </c:spPr>
    </c:plotArea>
    <c:legend>
      <c:legendPos val="r"/>
      <c:layout>
        <c:manualLayout>
          <c:xMode val="edge"/>
          <c:yMode val="edge"/>
          <c:x val="0.77685239556919794"/>
          <c:y val="0.44316987834296218"/>
          <c:w val="0.13595362669638178"/>
          <c:h val="0.40628594211951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Product Perfromance Dashboard Excel_jumia_dataset.xlsx]Product customer engagement!PivotTable6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mn-lt"/>
              </a:rPr>
              <a:t>Top product ratings and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customer engagement'!$B$5</c:f>
              <c:strCache>
                <c:ptCount val="1"/>
                <c:pt idx="0">
                  <c:v>Sum of Review</c:v>
                </c:pt>
              </c:strCache>
            </c:strRef>
          </c:tx>
          <c:spPr>
            <a:solidFill>
              <a:schemeClr val="accent1"/>
            </a:solidFill>
            <a:ln>
              <a:noFill/>
            </a:ln>
            <a:effectLst/>
          </c:spPr>
          <c:invertIfNegative val="0"/>
          <c:cat>
            <c:strRef>
              <c:f>'Product customer engagement'!$A$6:$A$11</c:f>
              <c:strCache>
                <c:ptCount val="5"/>
                <c:pt idx="0">
                  <c:v>100 Pcs Crochet Hook Tool Set Knitting Hook Set With Box</c:v>
                </c:pt>
                <c:pt idx="1">
                  <c:v>137 Pieces Cake Decorating Tool Set Baking Supplies</c:v>
                </c:pt>
                <c:pt idx="2">
                  <c:v>3D Waterproof EVA Plastic Shower Curtain 1.8*2Mtrs</c:v>
                </c:pt>
                <c:pt idx="3">
                  <c:v>Electronic Digital Display Vernier Caliper</c:v>
                </c:pt>
                <c:pt idx="4">
                  <c:v>Portable Mini Cordless Car Vacuum Cleaner - Blue</c:v>
                </c:pt>
              </c:strCache>
            </c:strRef>
          </c:cat>
          <c:val>
            <c:numRef>
              <c:f>'Product customer engagement'!$B$6:$B$11</c:f>
              <c:numCache>
                <c:formatCode>General</c:formatCode>
                <c:ptCount val="5"/>
                <c:pt idx="0">
                  <c:v>39</c:v>
                </c:pt>
                <c:pt idx="1">
                  <c:v>55</c:v>
                </c:pt>
                <c:pt idx="2">
                  <c:v>44</c:v>
                </c:pt>
                <c:pt idx="3">
                  <c:v>49</c:v>
                </c:pt>
                <c:pt idx="4">
                  <c:v>24</c:v>
                </c:pt>
              </c:numCache>
            </c:numRef>
          </c:val>
          <c:extLst>
            <c:ext xmlns:c16="http://schemas.microsoft.com/office/drawing/2014/chart" uri="{C3380CC4-5D6E-409C-BE32-E72D297353CC}">
              <c16:uniqueId val="{00000000-1B56-4F0C-B012-216E59CB93C6}"/>
            </c:ext>
          </c:extLst>
        </c:ser>
        <c:dLbls>
          <c:showLegendKey val="0"/>
          <c:showVal val="0"/>
          <c:showCatName val="0"/>
          <c:showSerName val="0"/>
          <c:showPercent val="0"/>
          <c:showBubbleSize val="0"/>
        </c:dLbls>
        <c:gapWidth val="219"/>
        <c:axId val="1825131104"/>
        <c:axId val="951640368"/>
      </c:barChart>
      <c:lineChart>
        <c:grouping val="standard"/>
        <c:varyColors val="0"/>
        <c:ser>
          <c:idx val="1"/>
          <c:order val="1"/>
          <c:tx>
            <c:strRef>
              <c:f>'Product customer engagement'!$C$5</c:f>
              <c:strCache>
                <c:ptCount val="1"/>
                <c:pt idx="0">
                  <c:v>Average of Rating (out of 5)</c:v>
                </c:pt>
              </c:strCache>
            </c:strRef>
          </c:tx>
          <c:spPr>
            <a:ln w="28575" cap="rnd">
              <a:solidFill>
                <a:schemeClr val="accent2"/>
              </a:solidFill>
              <a:round/>
            </a:ln>
            <a:effectLst/>
          </c:spPr>
          <c:marker>
            <c:symbol val="none"/>
          </c:marker>
          <c:cat>
            <c:strRef>
              <c:f>'Product customer engagement'!$A$6:$A$11</c:f>
              <c:strCache>
                <c:ptCount val="5"/>
                <c:pt idx="0">
                  <c:v>100 Pcs Crochet Hook Tool Set Knitting Hook Set With Box</c:v>
                </c:pt>
                <c:pt idx="1">
                  <c:v>137 Pieces Cake Decorating Tool Set Baking Supplies</c:v>
                </c:pt>
                <c:pt idx="2">
                  <c:v>3D Waterproof EVA Plastic Shower Curtain 1.8*2Mtrs</c:v>
                </c:pt>
                <c:pt idx="3">
                  <c:v>Electronic Digital Display Vernier Caliper</c:v>
                </c:pt>
                <c:pt idx="4">
                  <c:v>Portable Mini Cordless Car Vacuum Cleaner - Blue</c:v>
                </c:pt>
              </c:strCache>
            </c:strRef>
          </c:cat>
          <c:val>
            <c:numRef>
              <c:f>'Product customer engagement'!$C$6:$C$11</c:f>
              <c:numCache>
                <c:formatCode>General</c:formatCode>
                <c:ptCount val="5"/>
                <c:pt idx="0">
                  <c:v>4.7</c:v>
                </c:pt>
                <c:pt idx="1">
                  <c:v>4.5999999999999996</c:v>
                </c:pt>
                <c:pt idx="2">
                  <c:v>4.5999999999999996</c:v>
                </c:pt>
                <c:pt idx="3">
                  <c:v>4.5999999999999996</c:v>
                </c:pt>
                <c:pt idx="4">
                  <c:v>4.5999999999999996</c:v>
                </c:pt>
              </c:numCache>
            </c:numRef>
          </c:val>
          <c:smooth val="0"/>
          <c:extLst>
            <c:ext xmlns:c16="http://schemas.microsoft.com/office/drawing/2014/chart" uri="{C3380CC4-5D6E-409C-BE32-E72D297353CC}">
              <c16:uniqueId val="{00000001-1B56-4F0C-B012-216E59CB93C6}"/>
            </c:ext>
          </c:extLst>
        </c:ser>
        <c:dLbls>
          <c:showLegendKey val="0"/>
          <c:showVal val="0"/>
          <c:showCatName val="0"/>
          <c:showSerName val="0"/>
          <c:showPercent val="0"/>
          <c:showBubbleSize val="0"/>
        </c:dLbls>
        <c:marker val="1"/>
        <c:smooth val="0"/>
        <c:axId val="1825117648"/>
        <c:axId val="951646608"/>
      </c:lineChart>
      <c:catAx>
        <c:axId val="182511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1646608"/>
        <c:crosses val="autoZero"/>
        <c:auto val="1"/>
        <c:lblAlgn val="ctr"/>
        <c:lblOffset val="100"/>
        <c:noMultiLvlLbl val="0"/>
      </c:catAx>
      <c:valAx>
        <c:axId val="95164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5117648"/>
        <c:crosses val="autoZero"/>
        <c:crossBetween val="between"/>
      </c:valAx>
      <c:valAx>
        <c:axId val="9516403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5131104"/>
        <c:crosses val="max"/>
        <c:crossBetween val="between"/>
      </c:valAx>
      <c:catAx>
        <c:axId val="1825131104"/>
        <c:scaling>
          <c:orientation val="minMax"/>
        </c:scaling>
        <c:delete val="1"/>
        <c:axPos val="b"/>
        <c:numFmt formatCode="General" sourceLinked="1"/>
        <c:majorTickMark val="out"/>
        <c:minorTickMark val="none"/>
        <c:tickLblPos val="nextTo"/>
        <c:crossAx val="951640368"/>
        <c:crosses val="autoZero"/>
        <c:auto val="1"/>
        <c:lblAlgn val="ctr"/>
        <c:lblOffset val="100"/>
        <c:noMultiLvlLbl val="0"/>
      </c:catAx>
      <c:spPr>
        <a:noFill/>
        <a:ln>
          <a:noFill/>
        </a:ln>
        <a:effectLst/>
      </c:spPr>
    </c:plotArea>
    <c:legend>
      <c:legendPos val="r"/>
      <c:layout>
        <c:manualLayout>
          <c:xMode val="edge"/>
          <c:yMode val="edge"/>
          <c:x val="0.70833333333333337"/>
          <c:y val="0.35611001749781279"/>
          <c:w val="0.25"/>
          <c:h val="0.287175925925925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7.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1587501</xdr:colOff>
      <xdr:row>0</xdr:row>
      <xdr:rowOff>103188</xdr:rowOff>
    </xdr:from>
    <xdr:to>
      <xdr:col>14</xdr:col>
      <xdr:colOff>222252</xdr:colOff>
      <xdr:row>3</xdr:row>
      <xdr:rowOff>0</xdr:rowOff>
    </xdr:to>
    <xdr:sp macro="" textlink="">
      <xdr:nvSpPr>
        <xdr:cNvPr id="2" name="Rectangle: Rounded Corners 1">
          <a:extLst>
            <a:ext uri="{FF2B5EF4-FFF2-40B4-BE49-F238E27FC236}">
              <a16:creationId xmlns:a16="http://schemas.microsoft.com/office/drawing/2014/main" id="{EA943434-6A09-DB56-BF24-25910CA6C712}"/>
            </a:ext>
          </a:extLst>
        </xdr:cNvPr>
        <xdr:cNvSpPr/>
      </xdr:nvSpPr>
      <xdr:spPr>
        <a:xfrm>
          <a:off x="1587501" y="103188"/>
          <a:ext cx="10223501" cy="444500"/>
        </a:xfrm>
        <a:prstGeom prst="roundRect">
          <a:avLst/>
        </a:prstGeom>
        <a:solidFill>
          <a:schemeClr val="accent2">
            <a:lumMod val="60000"/>
            <a:lumOff val="40000"/>
          </a:schemeClr>
        </a:solidFill>
        <a:ln w="38100">
          <a:solidFill>
            <a:schemeClr val="accent2">
              <a:lumMod val="50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2000" b="1"/>
            <a:t>JUMIA PRODUCT PERFORMANCE</a:t>
          </a:r>
          <a:r>
            <a:rPr lang="en-US" sz="2000" b="1" baseline="0"/>
            <a:t> DASHBOARD</a:t>
          </a:r>
          <a:endParaRPr lang="en-KE" sz="2000" b="1"/>
        </a:p>
      </xdr:txBody>
    </xdr:sp>
    <xdr:clientData/>
  </xdr:twoCellAnchor>
  <xdr:twoCellAnchor>
    <xdr:from>
      <xdr:col>0</xdr:col>
      <xdr:colOff>219879</xdr:colOff>
      <xdr:row>3</xdr:row>
      <xdr:rowOff>52779</xdr:rowOff>
    </xdr:from>
    <xdr:to>
      <xdr:col>0</xdr:col>
      <xdr:colOff>2696380</xdr:colOff>
      <xdr:row>6</xdr:row>
      <xdr:rowOff>123702</xdr:rowOff>
    </xdr:to>
    <xdr:sp macro="" textlink="">
      <xdr:nvSpPr>
        <xdr:cNvPr id="3" name="Rectangle: Rounded Corners 2">
          <a:extLst>
            <a:ext uri="{FF2B5EF4-FFF2-40B4-BE49-F238E27FC236}">
              <a16:creationId xmlns:a16="http://schemas.microsoft.com/office/drawing/2014/main" id="{75FA56BF-E5B6-E122-15F5-D219E7B1DB01}"/>
            </a:ext>
          </a:extLst>
        </xdr:cNvPr>
        <xdr:cNvSpPr/>
      </xdr:nvSpPr>
      <xdr:spPr>
        <a:xfrm>
          <a:off x="219879" y="597065"/>
          <a:ext cx="2476501" cy="615208"/>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 NUMBER OF PRODUCTS</a:t>
          </a:r>
          <a:br>
            <a:rPr lang="en-US" sz="1200" b="1">
              <a:solidFill>
                <a:schemeClr val="tx1"/>
              </a:solidFill>
            </a:rPr>
          </a:br>
          <a:r>
            <a:rPr lang="en-US" sz="1200" b="1">
              <a:solidFill>
                <a:schemeClr val="tx1"/>
              </a:solidFill>
            </a:rPr>
            <a:t>112 PRODUCTS</a:t>
          </a:r>
          <a:endParaRPr lang="en-KE" sz="1200" b="1">
            <a:solidFill>
              <a:schemeClr val="tx1"/>
            </a:solidFill>
          </a:endParaRPr>
        </a:p>
      </xdr:txBody>
    </xdr:sp>
    <xdr:clientData/>
  </xdr:twoCellAnchor>
  <xdr:twoCellAnchor>
    <xdr:from>
      <xdr:col>1</xdr:col>
      <xdr:colOff>25256</xdr:colOff>
      <xdr:row>3</xdr:row>
      <xdr:rowOff>61334</xdr:rowOff>
    </xdr:from>
    <xdr:to>
      <xdr:col>4</xdr:col>
      <xdr:colOff>36596</xdr:colOff>
      <xdr:row>6</xdr:row>
      <xdr:rowOff>123700</xdr:rowOff>
    </xdr:to>
    <xdr:sp macro="" textlink="">
      <xdr:nvSpPr>
        <xdr:cNvPr id="4" name="Rectangle: Rounded Corners 3">
          <a:extLst>
            <a:ext uri="{FF2B5EF4-FFF2-40B4-BE49-F238E27FC236}">
              <a16:creationId xmlns:a16="http://schemas.microsoft.com/office/drawing/2014/main" id="{2281AA0E-773C-4BC4-86E0-0A2F876A8BD0}"/>
            </a:ext>
          </a:extLst>
        </xdr:cNvPr>
        <xdr:cNvSpPr/>
      </xdr:nvSpPr>
      <xdr:spPr>
        <a:xfrm>
          <a:off x="3266230" y="605620"/>
          <a:ext cx="2237963" cy="606651"/>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AVERAGE</a:t>
          </a:r>
          <a:r>
            <a:rPr lang="en-US" sz="1200" b="1" baseline="0">
              <a:solidFill>
                <a:schemeClr val="tx1"/>
              </a:solidFill>
            </a:rPr>
            <a:t> PRODUCT PRICE </a:t>
          </a:r>
          <a:br>
            <a:rPr lang="en-US" sz="1200" b="1" baseline="0">
              <a:solidFill>
                <a:schemeClr val="tx1"/>
              </a:solidFill>
            </a:rPr>
          </a:br>
          <a:r>
            <a:rPr lang="en-KE" sz="1200" b="1" i="0" u="none" strike="noStrike">
              <a:solidFill>
                <a:schemeClr val="tx1"/>
              </a:solidFill>
              <a:effectLst/>
              <a:latin typeface="+mn-lt"/>
              <a:ea typeface="+mn-ea"/>
              <a:cs typeface="+mn-cs"/>
            </a:rPr>
            <a:t>KES 1,186.89</a:t>
          </a:r>
          <a:r>
            <a:rPr lang="en-KE" sz="1200" b="1">
              <a:solidFill>
                <a:schemeClr val="tx1"/>
              </a:solidFill>
              <a:effectLst/>
            </a:rPr>
            <a:t> </a:t>
          </a:r>
          <a:endParaRPr lang="en-KE" sz="1200" b="1">
            <a:solidFill>
              <a:schemeClr val="tx1"/>
            </a:solidFill>
          </a:endParaRPr>
        </a:p>
      </xdr:txBody>
    </xdr:sp>
    <xdr:clientData/>
  </xdr:twoCellAnchor>
  <xdr:twoCellAnchor>
    <xdr:from>
      <xdr:col>5</xdr:col>
      <xdr:colOff>28248</xdr:colOff>
      <xdr:row>3</xdr:row>
      <xdr:rowOff>69580</xdr:rowOff>
    </xdr:from>
    <xdr:to>
      <xdr:col>8</xdr:col>
      <xdr:colOff>440071</xdr:colOff>
      <xdr:row>6</xdr:row>
      <xdr:rowOff>107208</xdr:rowOff>
    </xdr:to>
    <xdr:sp macro="" textlink="">
      <xdr:nvSpPr>
        <xdr:cNvPr id="5" name="Rectangle: Rounded Corners 4">
          <a:extLst>
            <a:ext uri="{FF2B5EF4-FFF2-40B4-BE49-F238E27FC236}">
              <a16:creationId xmlns:a16="http://schemas.microsoft.com/office/drawing/2014/main" id="{79B3CD10-CFDF-4A5D-9D15-2CAC76925AA7}"/>
            </a:ext>
          </a:extLst>
        </xdr:cNvPr>
        <xdr:cNvSpPr/>
      </xdr:nvSpPr>
      <xdr:spPr>
        <a:xfrm>
          <a:off x="6106105" y="613866"/>
          <a:ext cx="2242602" cy="581913"/>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AVERAGE DISCOUNT</a:t>
          </a:r>
          <a:r>
            <a:rPr lang="en-US" sz="1200" b="1" baseline="0">
              <a:solidFill>
                <a:schemeClr val="tx1"/>
              </a:solidFill>
            </a:rPr>
            <a:t> (%)</a:t>
          </a:r>
          <a:br>
            <a:rPr lang="en-US" sz="1200" b="1">
              <a:solidFill>
                <a:schemeClr val="tx1"/>
              </a:solidFill>
            </a:rPr>
          </a:br>
          <a:r>
            <a:rPr lang="en-US" sz="1200" b="1">
              <a:solidFill>
                <a:schemeClr val="tx1"/>
              </a:solidFill>
            </a:rPr>
            <a:t>37%</a:t>
          </a:r>
          <a:br>
            <a:rPr lang="en-US" sz="1200" b="1">
              <a:solidFill>
                <a:schemeClr val="tx1"/>
              </a:solidFill>
            </a:rPr>
          </a:br>
          <a:endParaRPr lang="en-KE" sz="1200" b="1">
            <a:solidFill>
              <a:schemeClr val="tx1"/>
            </a:solidFill>
          </a:endParaRPr>
        </a:p>
      </xdr:txBody>
    </xdr:sp>
    <xdr:clientData/>
  </xdr:twoCellAnchor>
  <xdr:twoCellAnchor>
    <xdr:from>
      <xdr:col>9</xdr:col>
      <xdr:colOff>424088</xdr:colOff>
      <xdr:row>3</xdr:row>
      <xdr:rowOff>61643</xdr:rowOff>
    </xdr:from>
    <xdr:to>
      <xdr:col>13</xdr:col>
      <xdr:colOff>225651</xdr:colOff>
      <xdr:row>6</xdr:row>
      <xdr:rowOff>107208</xdr:rowOff>
    </xdr:to>
    <xdr:sp macro="" textlink="">
      <xdr:nvSpPr>
        <xdr:cNvPr id="6" name="Rectangle: Rounded Corners 5">
          <a:extLst>
            <a:ext uri="{FF2B5EF4-FFF2-40B4-BE49-F238E27FC236}">
              <a16:creationId xmlns:a16="http://schemas.microsoft.com/office/drawing/2014/main" id="{B9EE2BAD-F821-4983-919F-0D9058D15C67}"/>
            </a:ext>
          </a:extLst>
        </xdr:cNvPr>
        <xdr:cNvSpPr/>
      </xdr:nvSpPr>
      <xdr:spPr>
        <a:xfrm>
          <a:off x="8942984" y="605929"/>
          <a:ext cx="2242602" cy="58985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AVERAGE RATING </a:t>
          </a:r>
          <a:br>
            <a:rPr lang="en-US" sz="1200" b="1">
              <a:solidFill>
                <a:schemeClr val="tx1"/>
              </a:solidFill>
            </a:rPr>
          </a:br>
          <a:r>
            <a:rPr lang="en-US" sz="1200" b="1">
              <a:solidFill>
                <a:schemeClr val="tx1"/>
              </a:solidFill>
            </a:rPr>
            <a:t>3.9</a:t>
          </a:r>
          <a:r>
            <a:rPr lang="en-US" sz="1200" b="1" baseline="0">
              <a:solidFill>
                <a:schemeClr val="tx1"/>
              </a:solidFill>
            </a:rPr>
            <a:t> out of 5</a:t>
          </a:r>
          <a:endParaRPr lang="en-KE" sz="1200" b="1">
            <a:solidFill>
              <a:schemeClr val="tx1"/>
            </a:solidFill>
          </a:endParaRPr>
        </a:p>
      </xdr:txBody>
    </xdr:sp>
    <xdr:clientData/>
  </xdr:twoCellAnchor>
  <xdr:twoCellAnchor>
    <xdr:from>
      <xdr:col>14</xdr:col>
      <xdr:colOff>60614</xdr:colOff>
      <xdr:row>3</xdr:row>
      <xdr:rowOff>57727</xdr:rowOff>
    </xdr:from>
    <xdr:to>
      <xdr:col>17</xdr:col>
      <xdr:colOff>472437</xdr:colOff>
      <xdr:row>6</xdr:row>
      <xdr:rowOff>90714</xdr:rowOff>
    </xdr:to>
    <xdr:sp macro="" textlink="">
      <xdr:nvSpPr>
        <xdr:cNvPr id="7" name="Rectangle: Rounded Corners 6">
          <a:extLst>
            <a:ext uri="{FF2B5EF4-FFF2-40B4-BE49-F238E27FC236}">
              <a16:creationId xmlns:a16="http://schemas.microsoft.com/office/drawing/2014/main" id="{E88E576A-C6E5-4013-A69C-A5F71D9CD927}"/>
            </a:ext>
          </a:extLst>
        </xdr:cNvPr>
        <xdr:cNvSpPr/>
      </xdr:nvSpPr>
      <xdr:spPr>
        <a:xfrm>
          <a:off x="11630809" y="602013"/>
          <a:ext cx="2242602" cy="577272"/>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tx1"/>
              </a:solidFill>
            </a:rPr>
            <a:t>TOTAL CUSTOMER REVIEWS </a:t>
          </a:r>
          <a:br>
            <a:rPr lang="en-US" sz="1200" b="1">
              <a:solidFill>
                <a:schemeClr val="tx1"/>
              </a:solidFill>
            </a:rPr>
          </a:br>
          <a:r>
            <a:rPr lang="en-US" sz="1200" b="1">
              <a:solidFill>
                <a:schemeClr val="tx1"/>
              </a:solidFill>
            </a:rPr>
            <a:t>57 REVIEWS</a:t>
          </a:r>
          <a:endParaRPr lang="en-KE" sz="1200" b="1">
            <a:solidFill>
              <a:schemeClr val="tx1"/>
            </a:solidFill>
          </a:endParaRPr>
        </a:p>
      </xdr:txBody>
    </xdr:sp>
    <xdr:clientData/>
  </xdr:twoCellAnchor>
  <xdr:twoCellAnchor editAs="oneCell">
    <xdr:from>
      <xdr:col>0</xdr:col>
      <xdr:colOff>99762</xdr:colOff>
      <xdr:row>29</xdr:row>
      <xdr:rowOff>136071</xdr:rowOff>
    </xdr:from>
    <xdr:to>
      <xdr:col>0</xdr:col>
      <xdr:colOff>2103413</xdr:colOff>
      <xdr:row>40</xdr:row>
      <xdr:rowOff>119755</xdr:rowOff>
    </xdr:to>
    <mc:AlternateContent xmlns:mc="http://schemas.openxmlformats.org/markup-compatibility/2006" xmlns:a14="http://schemas.microsoft.com/office/drawing/2010/main">
      <mc:Choice Requires="a14">
        <xdr:graphicFrame macro="">
          <xdr:nvGraphicFramePr>
            <xdr:cNvPr id="9" name="Discount category 1">
              <a:extLst>
                <a:ext uri="{FF2B5EF4-FFF2-40B4-BE49-F238E27FC236}">
                  <a16:creationId xmlns:a16="http://schemas.microsoft.com/office/drawing/2014/main" id="{7D1CF582-B497-4354-9607-15B220311CB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99762" y="5518917"/>
              <a:ext cx="2003651" cy="203522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93500</xdr:colOff>
      <xdr:row>18</xdr:row>
      <xdr:rowOff>137229</xdr:rowOff>
    </xdr:from>
    <xdr:to>
      <xdr:col>0</xdr:col>
      <xdr:colOff>2105089</xdr:colOff>
      <xdr:row>28</xdr:row>
      <xdr:rowOff>124732</xdr:rowOff>
    </xdr:to>
    <mc:AlternateContent xmlns:mc="http://schemas.openxmlformats.org/markup-compatibility/2006" xmlns:a14="http://schemas.microsoft.com/office/drawing/2010/main">
      <mc:Choice Requires="a14">
        <xdr:graphicFrame macro="">
          <xdr:nvGraphicFramePr>
            <xdr:cNvPr id="10" name="Rating category 1">
              <a:extLst>
                <a:ext uri="{FF2B5EF4-FFF2-40B4-BE49-F238E27FC236}">
                  <a16:creationId xmlns:a16="http://schemas.microsoft.com/office/drawing/2014/main" id="{ED273C24-FC32-45FA-881D-27AB9DEF139F}"/>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93500" y="3478306"/>
              <a:ext cx="2011589" cy="1843657"/>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102876</xdr:colOff>
      <xdr:row>7</xdr:row>
      <xdr:rowOff>26182</xdr:rowOff>
    </xdr:from>
    <xdr:to>
      <xdr:col>0</xdr:col>
      <xdr:colOff>2122402</xdr:colOff>
      <xdr:row>17</xdr:row>
      <xdr:rowOff>90714</xdr:rowOff>
    </xdr:to>
    <mc:AlternateContent xmlns:mc="http://schemas.openxmlformats.org/markup-compatibility/2006" xmlns:a14="http://schemas.microsoft.com/office/drawing/2010/main">
      <mc:Choice Requires="a14">
        <xdr:graphicFrame macro="">
          <xdr:nvGraphicFramePr>
            <xdr:cNvPr id="11" name="Price category 1">
              <a:extLst>
                <a:ext uri="{FF2B5EF4-FFF2-40B4-BE49-F238E27FC236}">
                  <a16:creationId xmlns:a16="http://schemas.microsoft.com/office/drawing/2014/main" id="{41C29A61-CC1E-42D5-AEF2-EE7C3FE071C7}"/>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102876" y="1325490"/>
              <a:ext cx="2019526" cy="192068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2278680</xdr:colOff>
      <xdr:row>7</xdr:row>
      <xdr:rowOff>47314</xdr:rowOff>
    </xdr:from>
    <xdr:to>
      <xdr:col>9</xdr:col>
      <xdr:colOff>257024</xdr:colOff>
      <xdr:row>22</xdr:row>
      <xdr:rowOff>166308</xdr:rowOff>
    </xdr:to>
    <xdr:graphicFrame macro="">
      <xdr:nvGraphicFramePr>
        <xdr:cNvPr id="12" name="Chart 11">
          <a:extLst>
            <a:ext uri="{FF2B5EF4-FFF2-40B4-BE49-F238E27FC236}">
              <a16:creationId xmlns:a16="http://schemas.microsoft.com/office/drawing/2014/main" id="{25F00968-C1C3-4BD0-B258-79C76FD13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583009</xdr:colOff>
      <xdr:row>24</xdr:row>
      <xdr:rowOff>45942</xdr:rowOff>
    </xdr:from>
    <xdr:to>
      <xdr:col>21</xdr:col>
      <xdr:colOff>257023</xdr:colOff>
      <xdr:row>40</xdr:row>
      <xdr:rowOff>90714</xdr:rowOff>
    </xdr:to>
    <xdr:graphicFrame macro="">
      <xdr:nvGraphicFramePr>
        <xdr:cNvPr id="14" name="Chart 13">
          <a:extLst>
            <a:ext uri="{FF2B5EF4-FFF2-40B4-BE49-F238E27FC236}">
              <a16:creationId xmlns:a16="http://schemas.microsoft.com/office/drawing/2014/main" id="{A3823F3D-AD52-4125-B31C-87FD69848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591015</xdr:colOff>
      <xdr:row>7</xdr:row>
      <xdr:rowOff>78345</xdr:rowOff>
    </xdr:from>
    <xdr:to>
      <xdr:col>21</xdr:col>
      <xdr:colOff>241903</xdr:colOff>
      <xdr:row>22</xdr:row>
      <xdr:rowOff>151190</xdr:rowOff>
    </xdr:to>
    <xdr:graphicFrame macro="">
      <xdr:nvGraphicFramePr>
        <xdr:cNvPr id="15" name="Chart 14">
          <a:extLst>
            <a:ext uri="{FF2B5EF4-FFF2-40B4-BE49-F238E27FC236}">
              <a16:creationId xmlns:a16="http://schemas.microsoft.com/office/drawing/2014/main" id="{66256986-0E94-4EBB-983E-8FF598B8E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2267858</xdr:colOff>
      <xdr:row>24</xdr:row>
      <xdr:rowOff>75595</xdr:rowOff>
    </xdr:from>
    <xdr:to>
      <xdr:col>9</xdr:col>
      <xdr:colOff>316676</xdr:colOff>
      <xdr:row>40</xdr:row>
      <xdr:rowOff>110521</xdr:rowOff>
    </xdr:to>
    <xdr:graphicFrame macro="">
      <xdr:nvGraphicFramePr>
        <xdr:cNvPr id="16" name="Chart 15">
          <a:extLst>
            <a:ext uri="{FF2B5EF4-FFF2-40B4-BE49-F238E27FC236}">
              <a16:creationId xmlns:a16="http://schemas.microsoft.com/office/drawing/2014/main" id="{42C43ABE-9120-498F-BC09-0764D2CDA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0.38894</cdr:x>
      <cdr:y>0.03809</cdr:y>
    </cdr:from>
    <cdr:to>
      <cdr:x>0.97751</cdr:x>
      <cdr:y>0.15778</cdr:y>
    </cdr:to>
    <cdr:sp macro="" textlink="">
      <cdr:nvSpPr>
        <cdr:cNvPr id="2" name="TextBox 1">
          <a:extLst xmlns:a="http://schemas.openxmlformats.org/drawingml/2006/main">
            <a:ext uri="{FF2B5EF4-FFF2-40B4-BE49-F238E27FC236}">
              <a16:creationId xmlns:a16="http://schemas.microsoft.com/office/drawing/2014/main" id="{E8C47B9E-4DFE-407C-5747-E996001ACB96}"/>
            </a:ext>
          </a:extLst>
        </cdr:cNvPr>
        <cdr:cNvSpPr txBox="1"/>
      </cdr:nvSpPr>
      <cdr:spPr>
        <a:xfrm xmlns:a="http://schemas.openxmlformats.org/drawingml/2006/main">
          <a:off x="2635250" y="111126"/>
          <a:ext cx="3987800"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Perfromance Gap: High Discount, Low Rated Products</a:t>
          </a:r>
          <a:endParaRPr lang="en-KE" sz="12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203200</xdr:colOff>
      <xdr:row>2</xdr:row>
      <xdr:rowOff>0</xdr:rowOff>
    </xdr:from>
    <xdr:to>
      <xdr:col>9</xdr:col>
      <xdr:colOff>508000</xdr:colOff>
      <xdr:row>16</xdr:row>
      <xdr:rowOff>165100</xdr:rowOff>
    </xdr:to>
    <xdr:graphicFrame macro="">
      <xdr:nvGraphicFramePr>
        <xdr:cNvPr id="2" name="Chart 1">
          <a:extLst>
            <a:ext uri="{FF2B5EF4-FFF2-40B4-BE49-F238E27FC236}">
              <a16:creationId xmlns:a16="http://schemas.microsoft.com/office/drawing/2014/main" id="{B7517C76-83F0-B5AA-DB27-AF3460411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38100</xdr:colOff>
      <xdr:row>2</xdr:row>
      <xdr:rowOff>6350</xdr:rowOff>
    </xdr:from>
    <xdr:to>
      <xdr:col>13</xdr:col>
      <xdr:colOff>38100</xdr:colOff>
      <xdr:row>15</xdr:row>
      <xdr:rowOff>136525</xdr:rowOff>
    </xdr:to>
    <mc:AlternateContent xmlns:mc="http://schemas.openxmlformats.org/markup-compatibility/2006" xmlns:a14="http://schemas.microsoft.com/office/drawing/2010/main">
      <mc:Choice Requires="a14">
        <xdr:graphicFrame macro="">
          <xdr:nvGraphicFramePr>
            <xdr:cNvPr id="4" name="Discount category">
              <a:extLst>
                <a:ext uri="{FF2B5EF4-FFF2-40B4-BE49-F238E27FC236}">
                  <a16:creationId xmlns:a16="http://schemas.microsoft.com/office/drawing/2014/main" id="{7F93E0B2-8447-7C6B-FA8E-1A89138261AD}"/>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7010400" y="374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127000</xdr:colOff>
      <xdr:row>1</xdr:row>
      <xdr:rowOff>177800</xdr:rowOff>
    </xdr:from>
    <xdr:to>
      <xdr:col>8</xdr:col>
      <xdr:colOff>571500</xdr:colOff>
      <xdr:row>13</xdr:row>
      <xdr:rowOff>158750</xdr:rowOff>
    </xdr:to>
    <xdr:graphicFrame macro="">
      <xdr:nvGraphicFramePr>
        <xdr:cNvPr id="2" name="Chart 1">
          <a:extLst>
            <a:ext uri="{FF2B5EF4-FFF2-40B4-BE49-F238E27FC236}">
              <a16:creationId xmlns:a16="http://schemas.microsoft.com/office/drawing/2014/main" id="{98A20C57-DE08-E456-0DF8-1C47DB2BD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374650</xdr:colOff>
      <xdr:row>2</xdr:row>
      <xdr:rowOff>6350</xdr:rowOff>
    </xdr:from>
    <xdr:to>
      <xdr:col>12</xdr:col>
      <xdr:colOff>374650</xdr:colOff>
      <xdr:row>15</xdr:row>
      <xdr:rowOff>136525</xdr:rowOff>
    </xdr:to>
    <mc:AlternateContent xmlns:mc="http://schemas.openxmlformats.org/markup-compatibility/2006" xmlns:a14="http://schemas.microsoft.com/office/drawing/2010/main">
      <mc:Choice Requires="a14">
        <xdr:graphicFrame macro="">
          <xdr:nvGraphicFramePr>
            <xdr:cNvPr id="3" name="Rating category">
              <a:extLst>
                <a:ext uri="{FF2B5EF4-FFF2-40B4-BE49-F238E27FC236}">
                  <a16:creationId xmlns:a16="http://schemas.microsoft.com/office/drawing/2014/main" id="{C2044EDD-2214-A28C-0D05-45A13139077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6521450" y="374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88900</xdr:colOff>
      <xdr:row>2</xdr:row>
      <xdr:rowOff>6350</xdr:rowOff>
    </xdr:from>
    <xdr:to>
      <xdr:col>9</xdr:col>
      <xdr:colOff>393700</xdr:colOff>
      <xdr:row>16</xdr:row>
      <xdr:rowOff>171450</xdr:rowOff>
    </xdr:to>
    <xdr:graphicFrame macro="">
      <xdr:nvGraphicFramePr>
        <xdr:cNvPr id="2" name="Chart 1">
          <a:extLst>
            <a:ext uri="{FF2B5EF4-FFF2-40B4-BE49-F238E27FC236}">
              <a16:creationId xmlns:a16="http://schemas.microsoft.com/office/drawing/2014/main" id="{8CBCD663-4ECA-4F4B-2E69-8384676FF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539750</xdr:colOff>
      <xdr:row>2</xdr:row>
      <xdr:rowOff>6350</xdr:rowOff>
    </xdr:from>
    <xdr:to>
      <xdr:col>12</xdr:col>
      <xdr:colOff>539750</xdr:colOff>
      <xdr:row>15</xdr:row>
      <xdr:rowOff>136525</xdr:rowOff>
    </xdr:to>
    <mc:AlternateContent xmlns:mc="http://schemas.openxmlformats.org/markup-compatibility/2006" xmlns:a14="http://schemas.microsoft.com/office/drawing/2010/main">
      <mc:Choice Requires="a14">
        <xdr:graphicFrame macro="">
          <xdr:nvGraphicFramePr>
            <xdr:cNvPr id="3" name="Price category">
              <a:extLst>
                <a:ext uri="{FF2B5EF4-FFF2-40B4-BE49-F238E27FC236}">
                  <a16:creationId xmlns:a16="http://schemas.microsoft.com/office/drawing/2014/main" id="{F2606FC1-6DC0-EF85-79AA-F8F6774F61DA}"/>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7429500" y="374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142421</xdr:colOff>
      <xdr:row>1</xdr:row>
      <xdr:rowOff>145595</xdr:rowOff>
    </xdr:from>
    <xdr:to>
      <xdr:col>13</xdr:col>
      <xdr:colOff>142421</xdr:colOff>
      <xdr:row>17</xdr:row>
      <xdr:rowOff>180520</xdr:rowOff>
    </xdr:to>
    <xdr:graphicFrame macro="">
      <xdr:nvGraphicFramePr>
        <xdr:cNvPr id="2" name="Chart 1">
          <a:extLst>
            <a:ext uri="{FF2B5EF4-FFF2-40B4-BE49-F238E27FC236}">
              <a16:creationId xmlns:a16="http://schemas.microsoft.com/office/drawing/2014/main" id="{1F25A578-F816-06ED-A852-723A90006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0.38894</cdr:x>
      <cdr:y>0.03809</cdr:y>
    </cdr:from>
    <cdr:to>
      <cdr:x>0.97751</cdr:x>
      <cdr:y>0.15778</cdr:y>
    </cdr:to>
    <cdr:sp macro="" textlink="">
      <cdr:nvSpPr>
        <cdr:cNvPr id="2" name="TextBox 1">
          <a:extLst xmlns:a="http://schemas.openxmlformats.org/drawingml/2006/main">
            <a:ext uri="{FF2B5EF4-FFF2-40B4-BE49-F238E27FC236}">
              <a16:creationId xmlns:a16="http://schemas.microsoft.com/office/drawing/2014/main" id="{E8C47B9E-4DFE-407C-5747-E996001ACB96}"/>
            </a:ext>
          </a:extLst>
        </cdr:cNvPr>
        <cdr:cNvSpPr txBox="1"/>
      </cdr:nvSpPr>
      <cdr:spPr>
        <a:xfrm xmlns:a="http://schemas.openxmlformats.org/drawingml/2006/main">
          <a:off x="2635250" y="111126"/>
          <a:ext cx="3987800" cy="349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200" b="1" kern="1200"/>
            <a:t>Perfromance Gap: High Discount, Low Rated Products</a:t>
          </a:r>
          <a:endParaRPr lang="en-KE" sz="1200" b="1" kern="1200"/>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173338</xdr:colOff>
      <xdr:row>3</xdr:row>
      <xdr:rowOff>171793</xdr:rowOff>
    </xdr:from>
    <xdr:to>
      <xdr:col>10</xdr:col>
      <xdr:colOff>487749</xdr:colOff>
      <xdr:row>18</xdr:row>
      <xdr:rowOff>152742</xdr:rowOff>
    </xdr:to>
    <xdr:graphicFrame macro="">
      <xdr:nvGraphicFramePr>
        <xdr:cNvPr id="2" name="Chart 1">
          <a:extLst>
            <a:ext uri="{FF2B5EF4-FFF2-40B4-BE49-F238E27FC236}">
              <a16:creationId xmlns:a16="http://schemas.microsoft.com/office/drawing/2014/main" id="{2A1C6EA7-7565-2CC0-AEFF-80F15C936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5.443896990742" createdVersion="8" refreshedVersion="8" minRefreshableVersion="3" recordCount="116" xr:uid="{1B209CF5-4A14-4348-9690-885276A89737}">
  <cacheSource type="worksheet">
    <worksheetSource ref="A1:J117" sheet="Cleaned data"/>
  </cacheSource>
  <cacheFields count="10">
    <cacheField name="Product" numFmtId="0">
      <sharedItems containsBlank="1" count="112">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 v="Summations"/>
        <s v="Average current price"/>
      </sharedItems>
    </cacheField>
    <cacheField name="Current price" numFmtId="0">
      <sharedItems containsString="0" containsBlank="1" containsNumber="1" minValue="38" maxValue="3750"/>
    </cacheField>
    <cacheField name="Old price" numFmtId="0">
      <sharedItems containsString="0" containsBlank="1" containsNumber="1" containsInteger="1" minValue="80" maxValue="6143"/>
    </cacheField>
    <cacheField name="Price category" numFmtId="164">
      <sharedItems containsBlank="1" count="4">
        <s v="Budget friendly"/>
        <s v="Value"/>
        <s v="Premium"/>
        <m/>
      </sharedItems>
    </cacheField>
    <cacheField name="Discount KES" numFmtId="164">
      <sharedItems containsString="0" containsBlank="1" containsNumber="1" minValue="-1186.8928571428571" maxValue="2585"/>
    </cacheField>
    <cacheField name="Discount(%)" numFmtId="9">
      <sharedItems containsString="0" containsBlank="1"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m/>
      </sharedItems>
      <fieldGroup base="5">
        <rangePr autoStart="0" autoEnd="0" startNum="0" endNum="0.7" groupInterval="0.1"/>
        <groupItems count="9">
          <s v="&lt;0 or (blank)"/>
          <s v="0-0.1"/>
          <s v="0.1-0.2"/>
          <s v="0.2-0.3"/>
          <s v="0.3-0.4"/>
          <s v="0.4-0.5"/>
          <s v="0.5-0.6"/>
          <s v="0.6-0.7"/>
          <s v="&gt;0.7"/>
        </groupItems>
      </fieldGroup>
    </cacheField>
    <cacheField name="Discount category" numFmtId="2">
      <sharedItems containsBlank="1" count="4">
        <s v="Medium discount"/>
        <s v="High discount"/>
        <s v="Low discount"/>
        <m/>
      </sharedItems>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 (out of 5)"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49">
      <sharedItems containsBlank="1" count="5">
        <s v="Average"/>
        <s v="Excellent"/>
        <s v="Not provided"/>
        <s v="Poor"/>
        <m/>
      </sharedItems>
    </cacheField>
  </cacheFields>
  <extLst>
    <ext xmlns:x14="http://schemas.microsoft.com/office/spreadsheetml/2009/9/main" uri="{725AE2AE-9491-48be-B2B4-4EB974FC3084}">
      <x14:pivotCacheDefinition pivotCacheId="18366270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950"/>
    <n v="1525"/>
    <x v="0"/>
    <n v="575"/>
    <x v="0"/>
    <x v="0"/>
    <x v="0"/>
    <x v="0"/>
    <x v="0"/>
  </r>
  <r>
    <x v="1"/>
    <n v="527"/>
    <n v="999"/>
    <x v="0"/>
    <n v="472"/>
    <x v="1"/>
    <x v="1"/>
    <x v="1"/>
    <x v="1"/>
    <x v="0"/>
  </r>
  <r>
    <x v="2"/>
    <n v="2199"/>
    <n v="2923"/>
    <x v="1"/>
    <n v="724"/>
    <x v="2"/>
    <x v="0"/>
    <x v="2"/>
    <x v="2"/>
    <x v="1"/>
  </r>
  <r>
    <x v="3"/>
    <n v="1580"/>
    <n v="2499"/>
    <x v="1"/>
    <n v="919"/>
    <x v="3"/>
    <x v="0"/>
    <x v="3"/>
    <x v="3"/>
    <x v="1"/>
  </r>
  <r>
    <x v="4"/>
    <n v="1740"/>
    <n v="2356"/>
    <x v="1"/>
    <n v="616"/>
    <x v="4"/>
    <x v="0"/>
    <x v="4"/>
    <x v="4"/>
    <x v="1"/>
  </r>
  <r>
    <x v="5"/>
    <n v="2999"/>
    <n v="3290"/>
    <x v="2"/>
    <n v="291"/>
    <x v="5"/>
    <x v="2"/>
    <x v="5"/>
    <x v="5"/>
    <x v="0"/>
  </r>
  <r>
    <x v="6"/>
    <n v="2319"/>
    <n v="3032"/>
    <x v="1"/>
    <n v="713"/>
    <x v="6"/>
    <x v="0"/>
    <x v="6"/>
    <x v="2"/>
    <x v="1"/>
  </r>
  <r>
    <x v="7"/>
    <n v="988"/>
    <n v="1580"/>
    <x v="0"/>
    <n v="592"/>
    <x v="3"/>
    <x v="0"/>
    <x v="0"/>
    <x v="5"/>
    <x v="0"/>
  </r>
  <r>
    <x v="8"/>
    <n v="1274"/>
    <n v="2800"/>
    <x v="0"/>
    <n v="1526"/>
    <x v="7"/>
    <x v="1"/>
    <x v="4"/>
    <x v="4"/>
    <x v="1"/>
  </r>
  <r>
    <x v="9"/>
    <n v="1600"/>
    <n v="2929"/>
    <x v="1"/>
    <n v="1329"/>
    <x v="8"/>
    <x v="1"/>
    <x v="4"/>
    <x v="6"/>
    <x v="0"/>
  </r>
  <r>
    <x v="10"/>
    <n v="799"/>
    <n v="999"/>
    <x v="0"/>
    <n v="200"/>
    <x v="9"/>
    <x v="0"/>
    <x v="7"/>
    <x v="1"/>
    <x v="0"/>
  </r>
  <r>
    <x v="11"/>
    <n v="990"/>
    <n v="1500"/>
    <x v="0"/>
    <n v="510"/>
    <x v="10"/>
    <x v="0"/>
    <x v="8"/>
    <x v="3"/>
    <x v="1"/>
  </r>
  <r>
    <x v="12"/>
    <n v="552"/>
    <n v="1035"/>
    <x v="0"/>
    <n v="483"/>
    <x v="1"/>
    <x v="1"/>
    <x v="7"/>
    <x v="4"/>
    <x v="1"/>
  </r>
  <r>
    <x v="13"/>
    <n v="501"/>
    <n v="860"/>
    <x v="0"/>
    <n v="359"/>
    <x v="11"/>
    <x v="1"/>
    <x v="9"/>
    <x v="0"/>
    <x v="0"/>
  </r>
  <r>
    <x v="14"/>
    <n v="1680"/>
    <n v="2499"/>
    <x v="1"/>
    <n v="819"/>
    <x v="12"/>
    <x v="0"/>
    <x v="10"/>
    <x v="7"/>
    <x v="0"/>
  </r>
  <r>
    <x v="15"/>
    <n v="332"/>
    <n v="684"/>
    <x v="0"/>
    <n v="352"/>
    <x v="13"/>
    <x v="1"/>
    <x v="0"/>
    <x v="8"/>
    <x v="1"/>
  </r>
  <r>
    <x v="16"/>
    <n v="195"/>
    <n v="360"/>
    <x v="0"/>
    <n v="165"/>
    <x v="14"/>
    <x v="1"/>
    <x v="0"/>
    <x v="8"/>
    <x v="1"/>
  </r>
  <r>
    <x v="17"/>
    <n v="2025"/>
    <n v="3971"/>
    <x v="1"/>
    <n v="1946"/>
    <x v="15"/>
    <x v="1"/>
    <x v="11"/>
    <x v="8"/>
    <x v="1"/>
  </r>
  <r>
    <x v="18"/>
    <n v="2999"/>
    <n v="3699"/>
    <x v="2"/>
    <n v="700"/>
    <x v="16"/>
    <x v="2"/>
    <x v="4"/>
    <x v="2"/>
    <x v="1"/>
  </r>
  <r>
    <x v="19"/>
    <n v="998"/>
    <n v="1966"/>
    <x v="0"/>
    <n v="968"/>
    <x v="15"/>
    <x v="1"/>
    <x v="12"/>
    <x v="2"/>
    <x v="1"/>
  </r>
  <r>
    <x v="20"/>
    <n v="38"/>
    <n v="80"/>
    <x v="0"/>
    <n v="42"/>
    <x v="17"/>
    <x v="1"/>
    <x v="13"/>
    <x v="9"/>
    <x v="0"/>
  </r>
  <r>
    <x v="21"/>
    <n v="1860"/>
    <n v="3220"/>
    <x v="1"/>
    <n v="1360"/>
    <x v="11"/>
    <x v="1"/>
    <x v="14"/>
    <x v="10"/>
    <x v="2"/>
  </r>
  <r>
    <x v="22"/>
    <n v="880"/>
    <n v="1350"/>
    <x v="0"/>
    <n v="470"/>
    <x v="18"/>
    <x v="0"/>
    <x v="9"/>
    <x v="5"/>
    <x v="0"/>
  </r>
  <r>
    <x v="23"/>
    <n v="1650"/>
    <n v="2150"/>
    <x v="1"/>
    <n v="500"/>
    <x v="19"/>
    <x v="0"/>
    <x v="1"/>
    <x v="11"/>
    <x v="0"/>
  </r>
  <r>
    <x v="24"/>
    <n v="2048"/>
    <n v="4500"/>
    <x v="1"/>
    <n v="2452"/>
    <x v="20"/>
    <x v="1"/>
    <x v="3"/>
    <x v="12"/>
    <x v="0"/>
  </r>
  <r>
    <x v="25"/>
    <n v="420"/>
    <n v="647"/>
    <x v="0"/>
    <n v="227"/>
    <x v="18"/>
    <x v="0"/>
    <x v="15"/>
    <x v="2"/>
    <x v="1"/>
  </r>
  <r>
    <x v="26"/>
    <n v="2880"/>
    <n v="3520"/>
    <x v="2"/>
    <n v="640"/>
    <x v="21"/>
    <x v="2"/>
    <x v="7"/>
    <x v="6"/>
    <x v="0"/>
  </r>
  <r>
    <x v="27"/>
    <n v="1350"/>
    <n v="1990"/>
    <x v="1"/>
    <n v="640"/>
    <x v="22"/>
    <x v="0"/>
    <x v="13"/>
    <x v="6"/>
    <x v="0"/>
  </r>
  <r>
    <x v="28"/>
    <n v="1758"/>
    <n v="2499"/>
    <x v="1"/>
    <n v="741"/>
    <x v="23"/>
    <x v="0"/>
    <x v="16"/>
    <x v="1"/>
    <x v="0"/>
  </r>
  <r>
    <x v="29"/>
    <n v="2200"/>
    <n v="4080"/>
    <x v="1"/>
    <n v="1880"/>
    <x v="14"/>
    <x v="1"/>
    <x v="14"/>
    <x v="10"/>
    <x v="2"/>
  </r>
  <r>
    <x v="30"/>
    <n v="185"/>
    <n v="382"/>
    <x v="0"/>
    <n v="197"/>
    <x v="24"/>
    <x v="1"/>
    <x v="10"/>
    <x v="12"/>
    <x v="0"/>
  </r>
  <r>
    <x v="31"/>
    <n v="980"/>
    <n v="1490"/>
    <x v="0"/>
    <n v="510"/>
    <x v="10"/>
    <x v="0"/>
    <x v="7"/>
    <x v="3"/>
    <x v="1"/>
  </r>
  <r>
    <x v="32"/>
    <n v="1820"/>
    <n v="3490"/>
    <x v="1"/>
    <n v="1670"/>
    <x v="25"/>
    <x v="1"/>
    <x v="10"/>
    <x v="12"/>
    <x v="0"/>
  </r>
  <r>
    <x v="33"/>
    <n v="1940"/>
    <n v="2650"/>
    <x v="1"/>
    <n v="710"/>
    <x v="26"/>
    <x v="0"/>
    <x v="16"/>
    <x v="3"/>
    <x v="1"/>
  </r>
  <r>
    <x v="34"/>
    <n v="1980"/>
    <n v="2699"/>
    <x v="1"/>
    <n v="719"/>
    <x v="26"/>
    <x v="0"/>
    <x v="17"/>
    <x v="0"/>
    <x v="0"/>
  </r>
  <r>
    <x v="35"/>
    <n v="1620"/>
    <n v="2690"/>
    <x v="1"/>
    <n v="1070"/>
    <x v="27"/>
    <x v="0"/>
    <x v="18"/>
    <x v="8"/>
    <x v="1"/>
  </r>
  <r>
    <x v="36"/>
    <n v="171"/>
    <n v="360"/>
    <x v="0"/>
    <n v="189"/>
    <x v="17"/>
    <x v="1"/>
    <x v="0"/>
    <x v="8"/>
    <x v="1"/>
  </r>
  <r>
    <x v="37"/>
    <n v="389"/>
    <n v="656"/>
    <x v="0"/>
    <n v="267"/>
    <x v="28"/>
    <x v="1"/>
    <x v="19"/>
    <x v="12"/>
    <x v="0"/>
  </r>
  <r>
    <x v="38"/>
    <n v="1800"/>
    <n v="2700"/>
    <x v="1"/>
    <n v="900"/>
    <x v="0"/>
    <x v="0"/>
    <x v="0"/>
    <x v="0"/>
    <x v="0"/>
  </r>
  <r>
    <x v="39"/>
    <n v="2750"/>
    <n v="4471"/>
    <x v="2"/>
    <n v="1721"/>
    <x v="0"/>
    <x v="0"/>
    <x v="14"/>
    <x v="10"/>
    <x v="2"/>
  </r>
  <r>
    <x v="40"/>
    <n v="475"/>
    <n v="931"/>
    <x v="0"/>
    <n v="456"/>
    <x v="15"/>
    <x v="1"/>
    <x v="14"/>
    <x v="10"/>
    <x v="2"/>
  </r>
  <r>
    <x v="41"/>
    <n v="238"/>
    <n v="476"/>
    <x v="0"/>
    <n v="238"/>
    <x v="29"/>
    <x v="1"/>
    <x v="14"/>
    <x v="10"/>
    <x v="2"/>
  </r>
  <r>
    <x v="42"/>
    <n v="610"/>
    <n v="1060"/>
    <x v="0"/>
    <n v="450"/>
    <x v="11"/>
    <x v="1"/>
    <x v="14"/>
    <x v="10"/>
    <x v="2"/>
  </r>
  <r>
    <x v="43"/>
    <n v="2132"/>
    <n v="2169"/>
    <x v="1"/>
    <n v="37"/>
    <x v="30"/>
    <x v="2"/>
    <x v="14"/>
    <x v="10"/>
    <x v="2"/>
  </r>
  <r>
    <x v="44"/>
    <n v="999"/>
    <n v="2000"/>
    <x v="0"/>
    <n v="1001"/>
    <x v="29"/>
    <x v="1"/>
    <x v="14"/>
    <x v="10"/>
    <x v="2"/>
  </r>
  <r>
    <x v="45"/>
    <n v="1190"/>
    <n v="1785"/>
    <x v="0"/>
    <n v="595"/>
    <x v="12"/>
    <x v="0"/>
    <x v="14"/>
    <x v="10"/>
    <x v="2"/>
  </r>
  <r>
    <x v="46"/>
    <n v="671"/>
    <n v="1316"/>
    <x v="0"/>
    <n v="645"/>
    <x v="15"/>
    <x v="1"/>
    <x v="14"/>
    <x v="10"/>
    <x v="2"/>
  </r>
  <r>
    <x v="47"/>
    <n v="1200"/>
    <n v="1950"/>
    <x v="0"/>
    <n v="750"/>
    <x v="0"/>
    <x v="0"/>
    <x v="14"/>
    <x v="10"/>
    <x v="2"/>
  </r>
  <r>
    <x v="48"/>
    <n v="199"/>
    <n v="504"/>
    <x v="0"/>
    <n v="305"/>
    <x v="31"/>
    <x v="1"/>
    <x v="14"/>
    <x v="10"/>
    <x v="2"/>
  </r>
  <r>
    <x v="49"/>
    <n v="299"/>
    <n v="600"/>
    <x v="0"/>
    <n v="301"/>
    <x v="29"/>
    <x v="1"/>
    <x v="14"/>
    <x v="10"/>
    <x v="2"/>
  </r>
  <r>
    <x v="50"/>
    <n v="1660"/>
    <n v="1699"/>
    <x v="1"/>
    <n v="39"/>
    <x v="30"/>
    <x v="2"/>
    <x v="14"/>
    <x v="10"/>
    <x v="2"/>
  </r>
  <r>
    <x v="51"/>
    <n v="299"/>
    <n v="384"/>
    <x v="0"/>
    <n v="85"/>
    <x v="32"/>
    <x v="0"/>
    <x v="14"/>
    <x v="10"/>
    <x v="2"/>
  </r>
  <r>
    <x v="52"/>
    <n v="1459"/>
    <n v="1499"/>
    <x v="1"/>
    <n v="40"/>
    <x v="33"/>
    <x v="2"/>
    <x v="14"/>
    <x v="10"/>
    <x v="2"/>
  </r>
  <r>
    <x v="53"/>
    <n v="799"/>
    <n v="1343"/>
    <x v="0"/>
    <n v="544"/>
    <x v="28"/>
    <x v="1"/>
    <x v="14"/>
    <x v="10"/>
    <x v="2"/>
  </r>
  <r>
    <x v="54"/>
    <n v="499"/>
    <n v="900"/>
    <x v="0"/>
    <n v="401"/>
    <x v="8"/>
    <x v="1"/>
    <x v="14"/>
    <x v="10"/>
    <x v="2"/>
  </r>
  <r>
    <x v="55"/>
    <n v="699"/>
    <n v="1343"/>
    <x v="0"/>
    <n v="644"/>
    <x v="25"/>
    <x v="1"/>
    <x v="14"/>
    <x v="10"/>
    <x v="2"/>
  </r>
  <r>
    <x v="56"/>
    <n v="799"/>
    <n v="1567"/>
    <x v="0"/>
    <n v="768"/>
    <x v="15"/>
    <x v="1"/>
    <x v="14"/>
    <x v="10"/>
    <x v="2"/>
  </r>
  <r>
    <x v="57"/>
    <n v="2799"/>
    <n v="3810"/>
    <x v="2"/>
    <n v="1011"/>
    <x v="26"/>
    <x v="0"/>
    <x v="14"/>
    <x v="10"/>
    <x v="2"/>
  </r>
  <r>
    <x v="54"/>
    <n v="399"/>
    <n v="896"/>
    <x v="0"/>
    <n v="497"/>
    <x v="7"/>
    <x v="1"/>
    <x v="14"/>
    <x v="10"/>
    <x v="2"/>
  </r>
  <r>
    <x v="58"/>
    <n v="2170"/>
    <n v="2500"/>
    <x v="1"/>
    <n v="330"/>
    <x v="34"/>
    <x v="2"/>
    <x v="9"/>
    <x v="13"/>
    <x v="3"/>
  </r>
  <r>
    <x v="59"/>
    <n v="458"/>
    <n v="986"/>
    <x v="0"/>
    <n v="528"/>
    <x v="20"/>
    <x v="1"/>
    <x v="20"/>
    <x v="14"/>
    <x v="0"/>
  </r>
  <r>
    <x v="60"/>
    <n v="2115"/>
    <n v="4700"/>
    <x v="1"/>
    <n v="2585"/>
    <x v="7"/>
    <x v="1"/>
    <x v="13"/>
    <x v="15"/>
    <x v="3"/>
  </r>
  <r>
    <x v="61"/>
    <n v="445"/>
    <n v="873"/>
    <x v="0"/>
    <n v="428"/>
    <x v="15"/>
    <x v="1"/>
    <x v="21"/>
    <x v="16"/>
    <x v="3"/>
  </r>
  <r>
    <x v="62"/>
    <n v="325"/>
    <n v="680"/>
    <x v="0"/>
    <n v="355"/>
    <x v="24"/>
    <x v="1"/>
    <x v="5"/>
    <x v="17"/>
    <x v="3"/>
  </r>
  <r>
    <x v="63"/>
    <n v="1220"/>
    <n v="1555"/>
    <x v="0"/>
    <n v="335"/>
    <x v="32"/>
    <x v="0"/>
    <x v="22"/>
    <x v="18"/>
    <x v="3"/>
  </r>
  <r>
    <x v="64"/>
    <n v="990"/>
    <n v="1814"/>
    <x v="0"/>
    <n v="824"/>
    <x v="8"/>
    <x v="1"/>
    <x v="9"/>
    <x v="19"/>
    <x v="3"/>
  </r>
  <r>
    <x v="65"/>
    <n v="1000"/>
    <n v="2000"/>
    <x v="0"/>
    <n v="1000"/>
    <x v="29"/>
    <x v="1"/>
    <x v="3"/>
    <x v="20"/>
    <x v="3"/>
  </r>
  <r>
    <x v="66"/>
    <n v="3750"/>
    <n v="6143"/>
    <x v="2"/>
    <n v="2393"/>
    <x v="35"/>
    <x v="0"/>
    <x v="4"/>
    <x v="14"/>
    <x v="0"/>
  </r>
  <r>
    <x v="67"/>
    <n v="382"/>
    <n v="700"/>
    <x v="0"/>
    <n v="318"/>
    <x v="8"/>
    <x v="1"/>
    <x v="23"/>
    <x v="21"/>
    <x v="3"/>
  </r>
  <r>
    <x v="68"/>
    <n v="2300"/>
    <n v="3240"/>
    <x v="1"/>
    <n v="940"/>
    <x v="36"/>
    <x v="0"/>
    <x v="4"/>
    <x v="14"/>
    <x v="0"/>
  </r>
  <r>
    <x v="69"/>
    <n v="345"/>
    <n v="602"/>
    <x v="0"/>
    <n v="257"/>
    <x v="37"/>
    <x v="1"/>
    <x v="9"/>
    <x v="20"/>
    <x v="3"/>
  </r>
  <r>
    <x v="70"/>
    <n v="509"/>
    <n v="899"/>
    <x v="0"/>
    <n v="390"/>
    <x v="37"/>
    <x v="1"/>
    <x v="4"/>
    <x v="14"/>
    <x v="0"/>
  </r>
  <r>
    <x v="71"/>
    <n v="968"/>
    <n v="1814"/>
    <x v="0"/>
    <n v="846"/>
    <x v="1"/>
    <x v="1"/>
    <x v="9"/>
    <x v="19"/>
    <x v="3"/>
  </r>
  <r>
    <x v="72"/>
    <n v="1570"/>
    <n v="2988"/>
    <x v="1"/>
    <n v="1418"/>
    <x v="1"/>
    <x v="1"/>
    <x v="3"/>
    <x v="15"/>
    <x v="3"/>
  </r>
  <r>
    <x v="73"/>
    <n v="790"/>
    <n v="1485"/>
    <x v="0"/>
    <n v="695"/>
    <x v="1"/>
    <x v="1"/>
    <x v="14"/>
    <x v="10"/>
    <x v="2"/>
  </r>
  <r>
    <x v="74"/>
    <n v="690"/>
    <n v="1200"/>
    <x v="0"/>
    <n v="510"/>
    <x v="37"/>
    <x v="1"/>
    <x v="14"/>
    <x v="10"/>
    <x v="2"/>
  </r>
  <r>
    <x v="75"/>
    <n v="1732"/>
    <n v="1799"/>
    <x v="1"/>
    <n v="67"/>
    <x v="38"/>
    <x v="2"/>
    <x v="14"/>
    <x v="10"/>
    <x v="2"/>
  </r>
  <r>
    <x v="76"/>
    <n v="230"/>
    <n v="450"/>
    <x v="0"/>
    <n v="220"/>
    <x v="15"/>
    <x v="1"/>
    <x v="14"/>
    <x v="10"/>
    <x v="2"/>
  </r>
  <r>
    <x v="77"/>
    <n v="1189"/>
    <n v="2199"/>
    <x v="0"/>
    <n v="1010"/>
    <x v="14"/>
    <x v="1"/>
    <x v="18"/>
    <x v="14"/>
    <x v="0"/>
  </r>
  <r>
    <x v="78"/>
    <n v="979"/>
    <n v="1920"/>
    <x v="0"/>
    <n v="941"/>
    <x v="15"/>
    <x v="1"/>
    <x v="18"/>
    <x v="8"/>
    <x v="1"/>
  </r>
  <r>
    <x v="79"/>
    <n v="1460"/>
    <n v="2290"/>
    <x v="1"/>
    <n v="830"/>
    <x v="39"/>
    <x v="0"/>
    <x v="14"/>
    <x v="10"/>
    <x v="2"/>
  </r>
  <r>
    <x v="80"/>
    <n v="1666"/>
    <n v="1699"/>
    <x v="1"/>
    <n v="33"/>
    <x v="30"/>
    <x v="2"/>
    <x v="14"/>
    <x v="10"/>
    <x v="2"/>
  </r>
  <r>
    <x v="81"/>
    <n v="330"/>
    <n v="647"/>
    <x v="0"/>
    <n v="317"/>
    <x v="15"/>
    <x v="1"/>
    <x v="18"/>
    <x v="5"/>
    <x v="0"/>
  </r>
  <r>
    <x v="48"/>
    <n v="176"/>
    <n v="345"/>
    <x v="0"/>
    <n v="169"/>
    <x v="15"/>
    <x v="1"/>
    <x v="14"/>
    <x v="10"/>
    <x v="2"/>
  </r>
  <r>
    <x v="82"/>
    <n v="1466"/>
    <n v="1699"/>
    <x v="1"/>
    <n v="233"/>
    <x v="40"/>
    <x v="2"/>
    <x v="14"/>
    <x v="10"/>
    <x v="2"/>
  </r>
  <r>
    <x v="83"/>
    <n v="274"/>
    <n v="537"/>
    <x v="0"/>
    <n v="263"/>
    <x v="15"/>
    <x v="1"/>
    <x v="14"/>
    <x v="10"/>
    <x v="2"/>
  </r>
  <r>
    <x v="84"/>
    <n v="799"/>
    <n v="900"/>
    <x v="0"/>
    <n v="101"/>
    <x v="41"/>
    <x v="2"/>
    <x v="14"/>
    <x v="10"/>
    <x v="2"/>
  </r>
  <r>
    <x v="56"/>
    <n v="657"/>
    <n v="1288"/>
    <x v="0"/>
    <n v="631"/>
    <x v="15"/>
    <x v="1"/>
    <x v="14"/>
    <x v="10"/>
    <x v="2"/>
  </r>
  <r>
    <x v="85"/>
    <n v="1468"/>
    <n v="1699"/>
    <x v="1"/>
    <n v="231"/>
    <x v="40"/>
    <x v="2"/>
    <x v="14"/>
    <x v="10"/>
    <x v="2"/>
  </r>
  <r>
    <x v="86"/>
    <n v="630"/>
    <n v="1100"/>
    <x v="0"/>
    <n v="470"/>
    <x v="37"/>
    <x v="1"/>
    <x v="14"/>
    <x v="10"/>
    <x v="2"/>
  </r>
  <r>
    <x v="87"/>
    <n v="850"/>
    <n v="1700"/>
    <x v="0"/>
    <n v="850"/>
    <x v="29"/>
    <x v="1"/>
    <x v="14"/>
    <x v="10"/>
    <x v="2"/>
  </r>
  <r>
    <x v="88"/>
    <n v="1300"/>
    <n v="2500"/>
    <x v="1"/>
    <n v="1200"/>
    <x v="25"/>
    <x v="1"/>
    <x v="14"/>
    <x v="10"/>
    <x v="2"/>
  </r>
  <r>
    <x v="89"/>
    <n v="105"/>
    <n v="200"/>
    <x v="0"/>
    <n v="95"/>
    <x v="25"/>
    <x v="1"/>
    <x v="14"/>
    <x v="10"/>
    <x v="2"/>
  </r>
  <r>
    <x v="90"/>
    <n v="899"/>
    <n v="1699"/>
    <x v="0"/>
    <n v="800"/>
    <x v="1"/>
    <x v="1"/>
    <x v="14"/>
    <x v="10"/>
    <x v="2"/>
  </r>
  <r>
    <x v="91"/>
    <n v="1200"/>
    <n v="2400"/>
    <x v="0"/>
    <n v="1200"/>
    <x v="29"/>
    <x v="1"/>
    <x v="14"/>
    <x v="10"/>
    <x v="2"/>
  </r>
  <r>
    <x v="92"/>
    <n v="1526"/>
    <n v="1660"/>
    <x v="1"/>
    <n v="134"/>
    <x v="42"/>
    <x v="2"/>
    <x v="14"/>
    <x v="10"/>
    <x v="2"/>
  </r>
  <r>
    <x v="93"/>
    <n v="1462"/>
    <n v="1499"/>
    <x v="1"/>
    <n v="37"/>
    <x v="30"/>
    <x v="2"/>
    <x v="14"/>
    <x v="10"/>
    <x v="2"/>
  </r>
  <r>
    <x v="94"/>
    <n v="248"/>
    <n v="486"/>
    <x v="0"/>
    <n v="238"/>
    <x v="15"/>
    <x v="1"/>
    <x v="14"/>
    <x v="10"/>
    <x v="2"/>
  </r>
  <r>
    <x v="95"/>
    <n v="3546"/>
    <n v="3699"/>
    <x v="2"/>
    <n v="153"/>
    <x v="38"/>
    <x v="2"/>
    <x v="14"/>
    <x v="10"/>
    <x v="2"/>
  </r>
  <r>
    <x v="96"/>
    <n v="525"/>
    <n v="1029"/>
    <x v="0"/>
    <n v="504"/>
    <x v="15"/>
    <x v="1"/>
    <x v="14"/>
    <x v="10"/>
    <x v="2"/>
  </r>
  <r>
    <x v="97"/>
    <n v="1080"/>
    <n v="1874"/>
    <x v="0"/>
    <n v="794"/>
    <x v="11"/>
    <x v="1"/>
    <x v="14"/>
    <x v="10"/>
    <x v="2"/>
  </r>
  <r>
    <x v="98"/>
    <n v="3640"/>
    <n v="4588"/>
    <x v="2"/>
    <n v="948"/>
    <x v="43"/>
    <x v="0"/>
    <x v="18"/>
    <x v="8"/>
    <x v="1"/>
  </r>
  <r>
    <x v="99"/>
    <n v="1420"/>
    <n v="2420"/>
    <x v="1"/>
    <n v="1000"/>
    <x v="28"/>
    <x v="1"/>
    <x v="14"/>
    <x v="10"/>
    <x v="2"/>
  </r>
  <r>
    <x v="100"/>
    <n v="1875"/>
    <n v="1899"/>
    <x v="1"/>
    <n v="24"/>
    <x v="44"/>
    <x v="2"/>
    <x v="14"/>
    <x v="10"/>
    <x v="2"/>
  </r>
  <r>
    <x v="101"/>
    <n v="198"/>
    <n v="260"/>
    <x v="0"/>
    <n v="62"/>
    <x v="6"/>
    <x v="0"/>
    <x v="14"/>
    <x v="10"/>
    <x v="2"/>
  </r>
  <r>
    <x v="102"/>
    <n v="1150"/>
    <n v="1737"/>
    <x v="0"/>
    <n v="587"/>
    <x v="10"/>
    <x v="0"/>
    <x v="14"/>
    <x v="10"/>
    <x v="2"/>
  </r>
  <r>
    <x v="103"/>
    <n v="1190"/>
    <n v="1810"/>
    <x v="0"/>
    <n v="620"/>
    <x v="10"/>
    <x v="0"/>
    <x v="14"/>
    <x v="10"/>
    <x v="2"/>
  </r>
  <r>
    <x v="104"/>
    <n v="1658"/>
    <n v="1699"/>
    <x v="1"/>
    <n v="41"/>
    <x v="30"/>
    <x v="2"/>
    <x v="14"/>
    <x v="10"/>
    <x v="2"/>
  </r>
  <r>
    <x v="105"/>
    <n v="1768"/>
    <n v="1799"/>
    <x v="1"/>
    <n v="31"/>
    <x v="30"/>
    <x v="2"/>
    <x v="14"/>
    <x v="10"/>
    <x v="2"/>
  </r>
  <r>
    <x v="106"/>
    <n v="199"/>
    <n v="553"/>
    <x v="0"/>
    <n v="354"/>
    <x v="45"/>
    <x v="1"/>
    <x v="14"/>
    <x v="10"/>
    <x v="2"/>
  </r>
  <r>
    <x v="107"/>
    <n v="450"/>
    <n v="900"/>
    <x v="0"/>
    <n v="450"/>
    <x v="29"/>
    <x v="1"/>
    <x v="18"/>
    <x v="22"/>
    <x v="3"/>
  </r>
  <r>
    <x v="108"/>
    <n v="169"/>
    <n v="320"/>
    <x v="0"/>
    <n v="151"/>
    <x v="1"/>
    <x v="1"/>
    <x v="14"/>
    <x v="10"/>
    <x v="2"/>
  </r>
  <r>
    <x v="109"/>
    <m/>
    <m/>
    <x v="3"/>
    <m/>
    <x v="46"/>
    <x v="3"/>
    <x v="14"/>
    <x v="10"/>
    <x v="4"/>
  </r>
  <r>
    <x v="109"/>
    <m/>
    <m/>
    <x v="3"/>
    <m/>
    <x v="46"/>
    <x v="3"/>
    <x v="14"/>
    <x v="10"/>
    <x v="4"/>
  </r>
  <r>
    <x v="110"/>
    <m/>
    <m/>
    <x v="3"/>
    <m/>
    <x v="46"/>
    <x v="3"/>
    <x v="14"/>
    <x v="10"/>
    <x v="4"/>
  </r>
  <r>
    <x v="111"/>
    <n v="1186.8928571428571"/>
    <m/>
    <x v="3"/>
    <n v="-1186.8928571428571"/>
    <x v="46"/>
    <x v="2"/>
    <x v="14"/>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83469C-1054-4171-9891-659269910D1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HIGHEST RATED PRODUCTS">
  <location ref="W9:X20" firstHeaderRow="1" firstDataRow="1" firstDataCol="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0"/>
  </rowFields>
  <rowItems count="11">
    <i>
      <x v="22"/>
    </i>
    <i>
      <x v="40"/>
    </i>
    <i>
      <x v="45"/>
    </i>
    <i>
      <x v="53"/>
    </i>
    <i>
      <x v="58"/>
    </i>
    <i>
      <x v="66"/>
    </i>
    <i>
      <x v="69"/>
    </i>
    <i>
      <x v="71"/>
    </i>
    <i>
      <x v="88"/>
    </i>
    <i>
      <x v="91"/>
    </i>
    <i t="grand">
      <x/>
    </i>
  </rowItems>
  <colItems count="1">
    <i/>
  </colItems>
  <dataFields count="1">
    <dataField name="Average of Rating (out of 5)" fld="8" subtotal="average" baseField="0" baseItem="0"/>
  </dataFields>
  <formats count="1">
    <format dxfId="12">
      <pivotArea dataOnly="0" labelOnly="1" outline="0" axis="axisValues" fieldPosition="0"/>
    </format>
  </formats>
  <pivotTableStyleInfo name="PivotStyleDark10" showRowHeaders="1" showColHeaders="1" showRowStripes="1"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1651C-56D5-498E-8035-FE6E3C20A0DA}" name="PivotTable5"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TOP 10 PRODUCTS BY REVIEWS COUNT">
  <location ref="W22:X33" firstHeaderRow="1" firstDataRow="1" firstDataCol="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showAll="0"/>
    <pivotField showAll="0"/>
    <pivotField dataField="1" showAll="0"/>
    <pivotField showAll="0"/>
    <pivotField showAll="0"/>
  </pivotFields>
  <rowFields count="1">
    <field x="0"/>
  </rowFields>
  <rowItems count="11">
    <i>
      <x v="1"/>
    </i>
    <i>
      <x v="5"/>
    </i>
    <i>
      <x v="8"/>
    </i>
    <i>
      <x v="18"/>
    </i>
    <i>
      <x v="26"/>
    </i>
    <i>
      <x v="27"/>
    </i>
    <i>
      <x v="28"/>
    </i>
    <i>
      <x v="60"/>
    </i>
    <i>
      <x v="92"/>
    </i>
    <i>
      <x v="96"/>
    </i>
    <i t="grand">
      <x/>
    </i>
  </rowItems>
  <colItems count="1">
    <i/>
  </colItems>
  <dataFields count="1">
    <dataField name="REVIEW COUNT" fld="7" baseField="0" baseItem="0"/>
  </dataFields>
  <pivotTableStyleInfo name="PivotStyleDark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7E207-5CBF-42C0-91FD-C5D182DF24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0">
    <pivotField showAll="0"/>
    <pivotField showAll="0"/>
    <pivotField showAll="0"/>
    <pivotField showAll="0"/>
    <pivotField showAll="0"/>
    <pivotField showAll="0">
      <items count="10">
        <item x="0"/>
        <item x="1"/>
        <item x="2"/>
        <item x="3"/>
        <item x="4"/>
        <item x="5"/>
        <item x="6"/>
        <item x="7"/>
        <item x="8"/>
        <item t="default"/>
      </items>
    </pivotField>
    <pivotField axis="axisRow" showAll="0">
      <items count="5">
        <item x="1"/>
        <item x="2"/>
        <item x="0"/>
        <item x="3"/>
        <item t="default"/>
      </items>
    </pivotField>
    <pivotField dataField="1" showAll="0"/>
    <pivotField showAll="0"/>
    <pivotField showAll="0"/>
  </pivotFields>
  <rowFields count="1">
    <field x="6"/>
  </rowFields>
  <rowItems count="5">
    <i>
      <x/>
    </i>
    <i>
      <x v="1"/>
    </i>
    <i>
      <x v="2"/>
    </i>
    <i>
      <x v="3"/>
    </i>
    <i t="grand">
      <x/>
    </i>
  </rowItems>
  <colItems count="1">
    <i/>
  </colItems>
  <dataFields count="1">
    <dataField name="Count of Review" fld="7" subtotal="count" baseField="5"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C22E1D-DE3A-40E0-80D1-02F39D51D4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10">
    <pivotField showAll="0"/>
    <pivotField showAll="0"/>
    <pivotField showAll="0"/>
    <pivotField showAll="0"/>
    <pivotField showAll="0"/>
    <pivotField showAll="0"/>
    <pivotField showAll="0"/>
    <pivotField dataField="1" showAll="0"/>
    <pivotField showAll="0"/>
    <pivotField axis="axisRow" showAll="0">
      <items count="6">
        <item x="0"/>
        <item x="1"/>
        <item h="1" x="2"/>
        <item x="3"/>
        <item h="1" x="4"/>
        <item t="default"/>
      </items>
    </pivotField>
  </pivotFields>
  <rowFields count="1">
    <field x="9"/>
  </rowFields>
  <rowItems count="4">
    <i>
      <x/>
    </i>
    <i>
      <x v="1"/>
    </i>
    <i>
      <x v="3"/>
    </i>
    <i t="grand">
      <x/>
    </i>
  </rowItems>
  <colItems count="1">
    <i/>
  </colItems>
  <dataFields count="1">
    <dataField name="Count of Review" fld="7" subtotal="count" baseField="9" baseItem="0"/>
  </dataFields>
  <chartFormats count="14">
    <chartFormat chart="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9" count="1" selected="0">
            <x v="0"/>
          </reference>
        </references>
      </pivotArea>
    </chartFormat>
    <chartFormat chart="10" format="6">
      <pivotArea type="data" outline="0" fieldPosition="0">
        <references count="2">
          <reference field="4294967294" count="1" selected="0">
            <x v="0"/>
          </reference>
          <reference field="9" count="1" selected="0">
            <x v="1"/>
          </reference>
        </references>
      </pivotArea>
    </chartFormat>
    <chartFormat chart="10" format="7">
      <pivotArea type="data" outline="0" fieldPosition="0">
        <references count="2">
          <reference field="4294967294" count="1" selected="0">
            <x v="0"/>
          </reference>
          <reference field="9" count="1" selected="0">
            <x v="3"/>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9" count="1" selected="0">
            <x v="0"/>
          </reference>
        </references>
      </pivotArea>
    </chartFormat>
    <chartFormat chart="16" format="10">
      <pivotArea type="data" outline="0" fieldPosition="0">
        <references count="2">
          <reference field="4294967294" count="1" selected="0">
            <x v="0"/>
          </reference>
          <reference field="9" count="1" selected="0">
            <x v="1"/>
          </reference>
        </references>
      </pivotArea>
    </chartFormat>
    <chartFormat chart="16" format="11">
      <pivotArea type="data" outline="0" fieldPosition="0">
        <references count="2">
          <reference field="4294967294" count="1" selected="0">
            <x v="0"/>
          </reference>
          <reference field="9" count="1" selected="0">
            <x v="3"/>
          </reference>
        </references>
      </pivotArea>
    </chartFormat>
    <chartFormat chart="16" format="12">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0"/>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 chart="0" format="6">
      <pivotArea type="data" outline="0" fieldPosition="0">
        <references count="2">
          <reference field="4294967294" count="1" selected="0">
            <x v="0"/>
          </reference>
          <reference field="9" count="1" selected="0">
            <x v="2"/>
          </reference>
        </references>
      </pivotArea>
    </chartFormat>
    <chartFormat chart="0" format="7">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70CF91-98C7-4F12-B62D-8C92032E39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s>
  <rowFields count="1">
    <field x="3"/>
  </rowFields>
  <rowItems count="5">
    <i>
      <x/>
    </i>
    <i>
      <x v="1"/>
    </i>
    <i>
      <x v="2"/>
    </i>
    <i>
      <x v="3"/>
    </i>
    <i t="grand">
      <x/>
    </i>
  </rowItems>
  <colItems count="1">
    <i/>
  </colItems>
  <dataFields count="1">
    <dataField name="Average of Rating (out of 5)" fld="8" subtotal="average" baseField="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73C63A-FE07-449E-8AB0-3CB72DC828D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30" firstHeaderRow="1" firstDataRow="1" firstDataCol="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dataField="1" showAll="0">
      <items count="10">
        <item x="0"/>
        <item x="1"/>
        <item x="2"/>
        <item x="3"/>
        <item x="4"/>
        <item x="5"/>
        <item x="6"/>
        <item x="7"/>
        <item x="8"/>
        <item t="default"/>
      </items>
    </pivotField>
    <pivotField showAll="0"/>
    <pivotField showAll="0"/>
    <pivotField showAll="0"/>
    <pivotField showAll="0"/>
  </pivotFields>
  <rowFields count="1">
    <field x="0"/>
  </rowFields>
  <rowItems count="11">
    <i>
      <x v="20"/>
    </i>
    <i>
      <x v="30"/>
    </i>
    <i>
      <x v="31"/>
    </i>
    <i>
      <x v="53"/>
    </i>
    <i>
      <x v="54"/>
    </i>
    <i>
      <x v="61"/>
    </i>
    <i>
      <x v="65"/>
    </i>
    <i>
      <x v="68"/>
    </i>
    <i>
      <x v="71"/>
    </i>
    <i>
      <x v="85"/>
    </i>
    <i t="grand">
      <x/>
    </i>
  </rowItems>
  <colItems count="1">
    <i/>
  </colItems>
  <dataFields count="1">
    <dataField name="Average of Discount(%)" fld="5" subtotal="average" baseField="0" baseItem="0"/>
  </dataFields>
  <pivotTableStyleInfo name="PivotStyleDark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E3095B-0AF8-4948-BB8C-35F2B4BF8E7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showAll="0"/>
    <pivotField showAll="0"/>
    <pivotField dataField="1" showAll="0"/>
    <pivotField showAll="0"/>
    <pivotField showAll="0"/>
  </pivotFields>
  <rowFields count="1">
    <field x="0"/>
  </rowFields>
  <rowItems count="11">
    <i>
      <x v="1"/>
    </i>
    <i>
      <x v="5"/>
    </i>
    <i>
      <x v="8"/>
    </i>
    <i>
      <x v="18"/>
    </i>
    <i>
      <x v="26"/>
    </i>
    <i>
      <x v="27"/>
    </i>
    <i>
      <x v="28"/>
    </i>
    <i>
      <x v="60"/>
    </i>
    <i>
      <x v="92"/>
    </i>
    <i>
      <x v="96"/>
    </i>
    <i t="grand">
      <x/>
    </i>
  </rowItems>
  <colItems count="1">
    <i/>
  </colItems>
  <dataFields count="1">
    <dataField name="Sum of Review" fld="7" baseField="0" baseItem="0"/>
  </dataFields>
  <pivotTableStyleInfo name="PivotStyleDark10"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5ED2A2-5C16-4F28-8ABD-FA8B97D570B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1" firstHeaderRow="1" firstDataRow="1" firstDataCol="1" rowPageCount="1" colPageCount="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showAll="0"/>
    <pivotField showAll="0"/>
    <pivotField showAll="0"/>
    <pivotField axis="axisPage" dataField="1" multipleItemSelectionAllowed="1" showAll="0">
      <items count="24">
        <item x="22"/>
        <item x="15"/>
        <item x="19"/>
        <item x="20"/>
        <item x="13"/>
        <item x="21"/>
        <item x="17"/>
        <item x="16"/>
        <item x="18"/>
        <item x="14"/>
        <item x="9"/>
        <item x="6"/>
        <item x="5"/>
        <item x="1"/>
        <item x="7"/>
        <item x="12"/>
        <item x="11"/>
        <item x="0"/>
        <item x="2"/>
        <item x="3"/>
        <item x="4"/>
        <item x="8"/>
        <item h="1" x="10"/>
        <item t="default"/>
      </items>
    </pivotField>
    <pivotField showAll="0"/>
  </pivotFields>
  <rowFields count="1">
    <field x="0"/>
  </rowFields>
  <rowItems count="11">
    <i>
      <x v="17"/>
    </i>
    <i>
      <x v="25"/>
    </i>
    <i>
      <x v="30"/>
    </i>
    <i>
      <x v="35"/>
    </i>
    <i>
      <x v="38"/>
    </i>
    <i>
      <x v="41"/>
    </i>
    <i>
      <x v="59"/>
    </i>
    <i>
      <x v="65"/>
    </i>
    <i>
      <x v="106"/>
    </i>
    <i>
      <x v="108"/>
    </i>
    <i t="grand">
      <x/>
    </i>
  </rowItems>
  <colItems count="1">
    <i/>
  </colItems>
  <pageFields count="1">
    <pageField fld="8" hier="-1"/>
  </pageFields>
  <dataFields count="1">
    <dataField name="Average of Rating (out of 5)" fld="8" subtotal="average" baseField="0" baseItem="0"/>
  </dataFields>
  <pivotTableStyleInfo name="PivotStyleMedium17" showRowHeaders="1" showColHeaders="1" showRowStripes="0" showColStripes="0" showLastColumn="1"/>
  <filters count="1">
    <filter fld="0"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774075-1FBD-4E66-9C0A-D58C24AA9D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showAll="0"/>
    <pivotField showAll="0"/>
    <pivotField showAll="0"/>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s>
  <rowFields count="1">
    <field x="0"/>
  </rowFields>
  <rowItems count="11">
    <i>
      <x v="22"/>
    </i>
    <i>
      <x v="40"/>
    </i>
    <i>
      <x v="45"/>
    </i>
    <i>
      <x v="53"/>
    </i>
    <i>
      <x v="58"/>
    </i>
    <i>
      <x v="66"/>
    </i>
    <i>
      <x v="69"/>
    </i>
    <i>
      <x v="71"/>
    </i>
    <i>
      <x v="88"/>
    </i>
    <i>
      <x v="91"/>
    </i>
    <i t="grand">
      <x/>
    </i>
  </rowItems>
  <colItems count="1">
    <i/>
  </colItems>
  <dataFields count="1">
    <dataField name="Average of Rating (out of 5)" fld="8" subtotal="average" baseField="0" baseItem="0"/>
  </dataFields>
  <pivotTableStyleInfo name="PivotStyleDark10" showRowHeaders="1" showColHeaders="1" showRowStripes="1"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DBA258-049E-4AE1-9C0F-2A7BCD8A78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6:C17" firstHeaderRow="0" firstDataRow="1" firstDataCol="1" rowPageCount="2" colPageCount="1"/>
  <pivotFields count="10">
    <pivotField axis="axisRow" showAll="0">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dataField="1" showAll="0"/>
    <pivotField axis="axisPage" multipleItemSelectionAllowed="1" showAll="0">
      <items count="5">
        <item x="1"/>
        <item h="1" x="2"/>
        <item h="1" x="0"/>
        <item h="1" x="3"/>
        <item t="default"/>
      </items>
    </pivotField>
    <pivotField showAll="0"/>
    <pivotField dataField="1" showAll="0"/>
    <pivotField axis="axisPage" multipleItemSelectionAllowed="1" showAll="0">
      <items count="6">
        <item h="1" x="0"/>
        <item h="1" x="1"/>
        <item h="1" x="2"/>
        <item x="3"/>
        <item h="1" x="4"/>
        <item t="default"/>
      </items>
    </pivotField>
  </pivotFields>
  <rowFields count="1">
    <field x="0"/>
  </rowFields>
  <rowItems count="11">
    <i>
      <x v="5"/>
    </i>
    <i>
      <x v="17"/>
    </i>
    <i>
      <x v="30"/>
    </i>
    <i>
      <x v="35"/>
    </i>
    <i>
      <x v="38"/>
    </i>
    <i>
      <x v="41"/>
    </i>
    <i>
      <x v="59"/>
    </i>
    <i>
      <x v="65"/>
    </i>
    <i>
      <x v="106"/>
    </i>
    <i>
      <x v="108"/>
    </i>
    <i t="grand">
      <x/>
    </i>
  </rowItems>
  <colFields count="1">
    <field x="-2"/>
  </colFields>
  <colItems count="2">
    <i>
      <x/>
    </i>
    <i i="1">
      <x v="1"/>
    </i>
  </colItems>
  <pageFields count="2">
    <pageField fld="6" hier="-1"/>
    <pageField fld="9" hier="-1"/>
  </pageFields>
  <dataFields count="2">
    <dataField name="Average of Discount(%)" fld="5" subtotal="average" baseField="0" baseItem="5"/>
    <dataField name="Average of Rating (out of 5)" fld="8"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059AC0-1844-4969-BAFD-D4CCE3284A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C11" firstHeaderRow="0" firstDataRow="1" firstDataCol="1" rowPageCount="1" colPageCount="1"/>
  <pivotFields count="10">
    <pivotField axis="axisRow" showAll="0" measureFilter="1">
      <items count="113">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111"/>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10"/>
        <item x="105"/>
        <item x="63"/>
        <item x="87"/>
        <item x="92"/>
        <item x="107"/>
        <item x="85"/>
        <item x="69"/>
        <item x="3"/>
        <item x="70"/>
        <item x="109"/>
        <item t="default"/>
      </items>
    </pivotField>
    <pivotField showAll="0"/>
    <pivotField showAll="0"/>
    <pivotField showAll="0"/>
    <pivotField showAll="0"/>
    <pivotField showAll="0"/>
    <pivotField showAll="0"/>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pivotField axis="axisPage" multipleItemSelectionAllowed="1" showAll="0">
      <items count="6">
        <item h="1" x="0"/>
        <item x="1"/>
        <item h="1" x="2"/>
        <item h="1" x="3"/>
        <item h="1" x="4"/>
        <item t="default"/>
      </items>
    </pivotField>
  </pivotFields>
  <rowFields count="1">
    <field x="0"/>
  </rowFields>
  <rowItems count="6">
    <i>
      <x v="1"/>
    </i>
    <i>
      <x v="8"/>
    </i>
    <i>
      <x v="18"/>
    </i>
    <i>
      <x v="60"/>
    </i>
    <i>
      <x v="92"/>
    </i>
    <i t="grand">
      <x/>
    </i>
  </rowItems>
  <colFields count="1">
    <field x="-2"/>
  </colFields>
  <colItems count="2">
    <i>
      <x/>
    </i>
    <i i="1">
      <x v="1"/>
    </i>
  </colItems>
  <pageFields count="1">
    <pageField fld="9" hier="-1"/>
  </pageFields>
  <dataFields count="2">
    <dataField name="Sum of Review" fld="7" baseField="0" baseItem="0"/>
    <dataField name="Average of Rating (out of 5)" fld="8"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valueGreaterThan" evalOrder="-1" id="4" iMeasureFld="0">
      <autoFilter ref="A1">
        <filterColumn colId="0">
          <customFilters>
            <customFilter operator="greaterThan" val="2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7F54C888-59A7-4B47-9FBB-85BAE2E33470}" sourceName="Discount category">
  <pivotTables>
    <pivotTable tabId="4" name="PivotTable2"/>
  </pivotTables>
  <data>
    <tabular pivotCacheId="1836627095">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5DBD6A59-02E4-4348-8581-2B90B258AC24}" sourceName="Rating category">
  <pivotTables>
    <pivotTable tabId="7" name="PivotTable4"/>
  </pivotTables>
  <data>
    <tabular pivotCacheId="1836627095">
      <items count="5">
        <i x="0" s="1"/>
        <i x="1" s="1"/>
        <i x="3" s="1"/>
        <i x="2"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B0065A0F-9651-4496-8741-36E590855D42}" sourceName="Price category">
  <pivotTables>
    <pivotTable tabId="9" name="PivotTable1"/>
  </pivotTables>
  <data>
    <tabular pivotCacheId="1836627095">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CBB18CFC-E57C-4B84-9C25-5B25E96C44DA}" cache="Slicer_Discount_category" caption="Discount category" style="SlicerStyleLight2" rowHeight="241300"/>
  <slicer name="Rating category 1" xr10:uid="{BD0EAA5A-FB39-4A58-9215-8AA9B91889EC}" cache="Slicer_Rating_category" caption="Rating category" style="SlicerStyleLight2" rowHeight="241300"/>
  <slicer name="Price category 1" xr10:uid="{EA328A97-4F91-429A-95DA-42C22418CD1C}" cache="Slicer_Price_category" caption="Price category"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2DDC1091-0FED-4A61-944B-33E48925775A}" cache="Slicer_Discount_category" caption="Discount category"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A9DB9378-D906-4110-9684-13E285514EFD}" cache="Slicer_Rating_category" caption="Rating category" style="SlicerStyleLight2"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63FE6D97-7AD6-4FEC-AA81-317D6C17AC0C}" cache="Slicer_Price_category" caption="Price 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0847A9-8321-490C-875A-DB1849219A56}" name="Table22" displayName="Table22" ref="A6:J122" totalsRowShown="0">
  <autoFilter ref="A6:J122" xr:uid="{C30847A9-8321-490C-875A-DB1849219A56}"/>
  <tableColumns count="10">
    <tableColumn id="1" xr3:uid="{96F31E66-D9B1-47A3-9F5E-C182561C9F2C}" name="Product"/>
    <tableColumn id="2" xr3:uid="{BBCDFFA8-6F84-4BCE-869D-B254BD386BA3}" name="Current price"/>
    <tableColumn id="3" xr3:uid="{3684E90A-4FBD-4FFC-97FC-D4E5D9C7DFFE}" name="Old price"/>
    <tableColumn id="11" xr3:uid="{AB6D976D-1C17-4970-B7FF-1FBCE508B08C}" name="Price category" dataDxfId="11">
      <calculatedColumnFormula>IF(B7&lt;1300,"Budget friendly",IF(B7&gt;2500,"Premium","Value"))</calculatedColumnFormula>
    </tableColumn>
    <tableColumn id="7" xr3:uid="{48A33D83-8A6F-4525-BEE8-D14805644831}" name="Discount KES" dataDxfId="10">
      <calculatedColumnFormula>Table22[[#This Row],[Old price]]-Table22[[#This Row],[Current price]]</calculatedColumnFormula>
    </tableColumn>
    <tableColumn id="4" xr3:uid="{864A715A-B1A6-4730-A3A1-87A5E5D374CD}" name="Discount(%)" dataCellStyle="Percent"/>
    <tableColumn id="9" xr3:uid="{04315FDF-6DFB-4F96-86AC-384703D6C06C}" name="Discount category" dataDxfId="9">
      <calculatedColumnFormula>IF(F7&lt;0.2,"Low discount",IF(F7&gt;0.4,"High discount","Medium discount"))</calculatedColumnFormula>
    </tableColumn>
    <tableColumn id="5" xr3:uid="{CDC97BBF-F9A3-47F6-9938-FC3AF31FB823}" name="Review"/>
    <tableColumn id="6" xr3:uid="{B0E42FD0-A884-4601-80D4-61A9BD5664D0}" name="Rating (out of 5)"/>
    <tableColumn id="8" xr3:uid="{BCB8AC28-0A57-41CB-9F4E-A663F41D4529}" name="Rating category" dataDxfId="8">
      <calculatedColumnFormula>IF(ISBLANK(I7),"Not provided",IF(I7&lt;3,"Poor",IF(I7&gt;4.5,"Excellent","Average")))</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A2B3-8960-465A-951A-FDA470AA94CC}">
  <dimension ref="A1:F116"/>
  <sheetViews>
    <sheetView workbookViewId="0">
      <selection activeCell="I11" sqref="I11"/>
    </sheetView>
  </sheetViews>
  <sheetFormatPr defaultRowHeight="14.5" x14ac:dyDescent="0.35"/>
  <cols>
    <col min="1" max="1" width="7.26953125" bestFit="1" customWidth="1"/>
    <col min="2" max="2" width="11.7265625" bestFit="1" customWidth="1"/>
    <col min="3" max="3" width="8" bestFit="1" customWidth="1"/>
    <col min="4" max="4" width="8.08984375" bestFit="1" customWidth="1"/>
    <col min="5" max="5" width="6.7265625" bestFit="1" customWidth="1"/>
    <col min="6" max="6" width="7.08984375" bestFit="1" customWidth="1"/>
  </cols>
  <sheetData>
    <row r="1" spans="1:6" x14ac:dyDescent="0.35">
      <c r="A1" t="s">
        <v>0</v>
      </c>
      <c r="B1" t="s">
        <v>1</v>
      </c>
      <c r="C1" t="s">
        <v>147</v>
      </c>
      <c r="D1" t="s">
        <v>148</v>
      </c>
      <c r="E1" t="s">
        <v>2</v>
      </c>
      <c r="F1" t="s">
        <v>149</v>
      </c>
    </row>
    <row r="2" spans="1:6" x14ac:dyDescent="0.35">
      <c r="A2" t="s">
        <v>3</v>
      </c>
      <c r="B2" t="s">
        <v>150</v>
      </c>
      <c r="C2" t="s">
        <v>151</v>
      </c>
      <c r="D2" s="21">
        <v>0.38</v>
      </c>
      <c r="E2">
        <v>-2</v>
      </c>
      <c r="F2" t="s">
        <v>152</v>
      </c>
    </row>
    <row r="3" spans="1:6" x14ac:dyDescent="0.35">
      <c r="A3" t="s">
        <v>4</v>
      </c>
      <c r="B3" t="s">
        <v>153</v>
      </c>
      <c r="C3" t="s">
        <v>154</v>
      </c>
      <c r="D3" s="21">
        <v>0.47</v>
      </c>
      <c r="E3">
        <v>-14</v>
      </c>
      <c r="F3" t="s">
        <v>155</v>
      </c>
    </row>
    <row r="4" spans="1:6" x14ac:dyDescent="0.35">
      <c r="A4" t="s">
        <v>5</v>
      </c>
      <c r="B4" t="s">
        <v>156</v>
      </c>
      <c r="C4" t="s">
        <v>157</v>
      </c>
      <c r="D4" s="21">
        <v>0.25</v>
      </c>
      <c r="E4">
        <v>-24</v>
      </c>
      <c r="F4" t="s">
        <v>158</v>
      </c>
    </row>
    <row r="5" spans="1:6" x14ac:dyDescent="0.35">
      <c r="A5" t="s">
        <v>6</v>
      </c>
      <c r="B5" t="s">
        <v>159</v>
      </c>
      <c r="C5" t="s">
        <v>160</v>
      </c>
      <c r="D5" s="21">
        <v>0.37</v>
      </c>
      <c r="E5">
        <v>-7</v>
      </c>
      <c r="F5" t="s">
        <v>161</v>
      </c>
    </row>
    <row r="6" spans="1:6" x14ac:dyDescent="0.35">
      <c r="A6" t="s">
        <v>7</v>
      </c>
      <c r="B6" t="s">
        <v>162</v>
      </c>
      <c r="C6" t="s">
        <v>163</v>
      </c>
      <c r="D6" s="21">
        <v>0.26</v>
      </c>
      <c r="E6">
        <v>-5</v>
      </c>
      <c r="F6" t="s">
        <v>164</v>
      </c>
    </row>
    <row r="7" spans="1:6" x14ac:dyDescent="0.35">
      <c r="A7" t="s">
        <v>8</v>
      </c>
      <c r="B7" t="s">
        <v>165</v>
      </c>
      <c r="C7" t="s">
        <v>166</v>
      </c>
      <c r="D7" s="21">
        <v>0.09</v>
      </c>
      <c r="E7">
        <v>-15</v>
      </c>
      <c r="F7" t="s">
        <v>167</v>
      </c>
    </row>
    <row r="8" spans="1:6" x14ac:dyDescent="0.35">
      <c r="A8" t="s">
        <v>9</v>
      </c>
      <c r="B8" t="s">
        <v>168</v>
      </c>
      <c r="C8" t="s">
        <v>169</v>
      </c>
      <c r="D8" s="21">
        <v>0.24</v>
      </c>
      <c r="E8">
        <v>-55</v>
      </c>
      <c r="F8" t="s">
        <v>158</v>
      </c>
    </row>
    <row r="9" spans="1:6" x14ac:dyDescent="0.35">
      <c r="A9" t="s">
        <v>10</v>
      </c>
      <c r="B9" t="s">
        <v>170</v>
      </c>
      <c r="C9" t="s">
        <v>159</v>
      </c>
      <c r="D9" s="21">
        <v>0.37</v>
      </c>
      <c r="E9">
        <v>-2</v>
      </c>
      <c r="F9" t="s">
        <v>167</v>
      </c>
    </row>
    <row r="10" spans="1:6" x14ac:dyDescent="0.35">
      <c r="A10" t="s">
        <v>11</v>
      </c>
      <c r="B10" t="s">
        <v>171</v>
      </c>
      <c r="C10" t="s">
        <v>172</v>
      </c>
      <c r="D10" s="21">
        <v>0.55000000000000004</v>
      </c>
      <c r="E10">
        <v>-5</v>
      </c>
      <c r="F10" t="s">
        <v>164</v>
      </c>
    </row>
    <row r="11" spans="1:6" x14ac:dyDescent="0.35">
      <c r="A11" t="s">
        <v>12</v>
      </c>
      <c r="B11" t="s">
        <v>173</v>
      </c>
      <c r="C11" t="s">
        <v>174</v>
      </c>
      <c r="D11" s="21">
        <v>0.45</v>
      </c>
      <c r="E11">
        <v>-5</v>
      </c>
      <c r="F11" t="s">
        <v>175</v>
      </c>
    </row>
    <row r="12" spans="1:6" x14ac:dyDescent="0.35">
      <c r="A12" t="s">
        <v>13</v>
      </c>
      <c r="B12" t="s">
        <v>176</v>
      </c>
      <c r="C12" t="s">
        <v>154</v>
      </c>
      <c r="D12" s="21">
        <v>0.2</v>
      </c>
      <c r="E12">
        <v>-12</v>
      </c>
      <c r="F12" t="s">
        <v>155</v>
      </c>
    </row>
    <row r="13" spans="1:6" x14ac:dyDescent="0.35">
      <c r="A13" t="s">
        <v>14</v>
      </c>
      <c r="B13" t="s">
        <v>177</v>
      </c>
      <c r="C13" t="s">
        <v>178</v>
      </c>
      <c r="D13" s="21">
        <v>0.34</v>
      </c>
      <c r="E13">
        <v>-39</v>
      </c>
      <c r="F13" t="s">
        <v>161</v>
      </c>
    </row>
    <row r="14" spans="1:6" x14ac:dyDescent="0.35">
      <c r="A14" t="s">
        <v>15</v>
      </c>
      <c r="B14" t="s">
        <v>179</v>
      </c>
      <c r="C14" t="s">
        <v>180</v>
      </c>
      <c r="D14" s="21">
        <v>0.47</v>
      </c>
      <c r="E14">
        <v>-12</v>
      </c>
      <c r="F14" t="s">
        <v>164</v>
      </c>
    </row>
    <row r="15" spans="1:6" x14ac:dyDescent="0.35">
      <c r="A15" t="s">
        <v>16</v>
      </c>
      <c r="B15" t="s">
        <v>181</v>
      </c>
      <c r="C15" t="s">
        <v>182</v>
      </c>
      <c r="D15" s="21">
        <v>0.42</v>
      </c>
      <c r="E15">
        <v>-6</v>
      </c>
      <c r="F15" t="s">
        <v>152</v>
      </c>
    </row>
    <row r="16" spans="1:6" x14ac:dyDescent="0.35">
      <c r="A16" t="s">
        <v>17</v>
      </c>
      <c r="B16" t="s">
        <v>183</v>
      </c>
      <c r="C16" t="s">
        <v>160</v>
      </c>
      <c r="D16" s="21">
        <v>0.33</v>
      </c>
      <c r="E16">
        <v>-9</v>
      </c>
      <c r="F16" t="s">
        <v>184</v>
      </c>
    </row>
    <row r="17" spans="1:6" x14ac:dyDescent="0.35">
      <c r="A17" t="s">
        <v>18</v>
      </c>
      <c r="B17" t="s">
        <v>185</v>
      </c>
      <c r="C17" t="s">
        <v>186</v>
      </c>
      <c r="D17" s="21">
        <v>0.51</v>
      </c>
      <c r="E17">
        <v>-2</v>
      </c>
      <c r="F17" t="s">
        <v>187</v>
      </c>
    </row>
    <row r="18" spans="1:6" x14ac:dyDescent="0.35">
      <c r="A18" t="s">
        <v>19</v>
      </c>
      <c r="B18" t="s">
        <v>188</v>
      </c>
      <c r="C18" t="s">
        <v>189</v>
      </c>
      <c r="D18" s="21">
        <v>0.46</v>
      </c>
      <c r="E18">
        <v>-2</v>
      </c>
      <c r="F18" t="s">
        <v>187</v>
      </c>
    </row>
    <row r="19" spans="1:6" x14ac:dyDescent="0.35">
      <c r="A19" t="s">
        <v>20</v>
      </c>
      <c r="B19" t="s">
        <v>190</v>
      </c>
      <c r="C19" t="s">
        <v>191</v>
      </c>
      <c r="D19" s="21">
        <v>0.49</v>
      </c>
      <c r="E19">
        <v>-3</v>
      </c>
      <c r="F19" t="s">
        <v>187</v>
      </c>
    </row>
    <row r="20" spans="1:6" x14ac:dyDescent="0.35">
      <c r="A20" t="s">
        <v>21</v>
      </c>
      <c r="B20" t="s">
        <v>165</v>
      </c>
      <c r="C20" t="s">
        <v>192</v>
      </c>
      <c r="D20" s="21">
        <v>0.19</v>
      </c>
      <c r="E20">
        <v>-5</v>
      </c>
      <c r="F20" t="s">
        <v>158</v>
      </c>
    </row>
    <row r="21" spans="1:6" x14ac:dyDescent="0.35">
      <c r="A21" t="s">
        <v>22</v>
      </c>
      <c r="B21" t="s">
        <v>193</v>
      </c>
      <c r="C21" t="s">
        <v>194</v>
      </c>
      <c r="D21" s="21">
        <v>0.49</v>
      </c>
      <c r="E21">
        <v>-44</v>
      </c>
      <c r="F21" t="s">
        <v>158</v>
      </c>
    </row>
    <row r="22" spans="1:6" x14ac:dyDescent="0.35">
      <c r="A22" t="s">
        <v>23</v>
      </c>
      <c r="B22" t="s">
        <v>195</v>
      </c>
      <c r="C22" t="s">
        <v>196</v>
      </c>
      <c r="D22" s="21">
        <v>0.53</v>
      </c>
      <c r="E22">
        <v>-13</v>
      </c>
      <c r="F22" t="s">
        <v>197</v>
      </c>
    </row>
    <row r="23" spans="1:6" x14ac:dyDescent="0.35">
      <c r="A23" t="s">
        <v>24</v>
      </c>
      <c r="B23" t="s">
        <v>198</v>
      </c>
      <c r="C23" t="s">
        <v>199</v>
      </c>
      <c r="D23" s="21">
        <v>0.42</v>
      </c>
    </row>
    <row r="24" spans="1:6" x14ac:dyDescent="0.35">
      <c r="A24" t="s">
        <v>25</v>
      </c>
      <c r="B24" t="s">
        <v>200</v>
      </c>
      <c r="C24" t="s">
        <v>201</v>
      </c>
      <c r="D24" s="21">
        <v>0.35</v>
      </c>
      <c r="E24">
        <v>-6</v>
      </c>
      <c r="F24" t="s">
        <v>167</v>
      </c>
    </row>
    <row r="25" spans="1:6" x14ac:dyDescent="0.35">
      <c r="A25" t="s">
        <v>26</v>
      </c>
      <c r="B25" t="s">
        <v>202</v>
      </c>
      <c r="C25" t="s">
        <v>203</v>
      </c>
      <c r="D25" s="21">
        <v>0.23</v>
      </c>
      <c r="E25">
        <v>-14</v>
      </c>
      <c r="F25" t="s">
        <v>204</v>
      </c>
    </row>
    <row r="26" spans="1:6" x14ac:dyDescent="0.35">
      <c r="A26" t="s">
        <v>27</v>
      </c>
      <c r="B26" t="s">
        <v>205</v>
      </c>
      <c r="C26" t="s">
        <v>206</v>
      </c>
      <c r="D26" s="21">
        <v>0.54</v>
      </c>
      <c r="E26">
        <v>-7</v>
      </c>
      <c r="F26" t="s">
        <v>207</v>
      </c>
    </row>
    <row r="27" spans="1:6" x14ac:dyDescent="0.35">
      <c r="A27" t="s">
        <v>28</v>
      </c>
      <c r="B27" t="s">
        <v>208</v>
      </c>
      <c r="C27" t="s">
        <v>209</v>
      </c>
      <c r="D27" s="21">
        <v>0.35</v>
      </c>
      <c r="E27">
        <v>-49</v>
      </c>
      <c r="F27" t="s">
        <v>158</v>
      </c>
    </row>
    <row r="28" spans="1:6" x14ac:dyDescent="0.35">
      <c r="A28" t="s">
        <v>29</v>
      </c>
      <c r="B28" t="s">
        <v>210</v>
      </c>
      <c r="C28" t="s">
        <v>211</v>
      </c>
      <c r="D28" s="21">
        <v>0.18</v>
      </c>
      <c r="E28">
        <v>-12</v>
      </c>
      <c r="F28" t="s">
        <v>175</v>
      </c>
    </row>
    <row r="29" spans="1:6" x14ac:dyDescent="0.35">
      <c r="A29" t="s">
        <v>30</v>
      </c>
      <c r="B29" t="s">
        <v>201</v>
      </c>
      <c r="C29" t="s">
        <v>212</v>
      </c>
      <c r="D29" s="21">
        <v>0.32</v>
      </c>
      <c r="E29">
        <v>-13</v>
      </c>
      <c r="F29" t="s">
        <v>175</v>
      </c>
    </row>
    <row r="30" spans="1:6" x14ac:dyDescent="0.35">
      <c r="A30" t="s">
        <v>31</v>
      </c>
      <c r="B30" t="s">
        <v>213</v>
      </c>
      <c r="C30" t="s">
        <v>160</v>
      </c>
      <c r="D30" s="21">
        <v>0.3</v>
      </c>
      <c r="E30">
        <v>-20</v>
      </c>
      <c r="F30" t="s">
        <v>155</v>
      </c>
    </row>
    <row r="31" spans="1:6" x14ac:dyDescent="0.35">
      <c r="A31" t="s">
        <v>32</v>
      </c>
      <c r="B31" t="s">
        <v>214</v>
      </c>
      <c r="C31" t="s">
        <v>215</v>
      </c>
      <c r="D31" s="21">
        <v>0.46</v>
      </c>
    </row>
    <row r="32" spans="1:6" x14ac:dyDescent="0.35">
      <c r="A32" t="s">
        <v>33</v>
      </c>
      <c r="B32" t="s">
        <v>216</v>
      </c>
      <c r="C32" t="s">
        <v>217</v>
      </c>
      <c r="D32" s="21">
        <v>0.52</v>
      </c>
      <c r="E32">
        <v>-9</v>
      </c>
      <c r="F32" t="s">
        <v>207</v>
      </c>
    </row>
    <row r="33" spans="1:6" x14ac:dyDescent="0.35">
      <c r="A33" t="s">
        <v>34</v>
      </c>
      <c r="B33" t="s">
        <v>218</v>
      </c>
      <c r="C33" t="s">
        <v>219</v>
      </c>
      <c r="D33" s="21">
        <v>0.34</v>
      </c>
      <c r="E33">
        <v>-12</v>
      </c>
      <c r="F33" t="s">
        <v>161</v>
      </c>
    </row>
    <row r="34" spans="1:6" x14ac:dyDescent="0.35">
      <c r="A34" t="s">
        <v>35</v>
      </c>
      <c r="B34" t="s">
        <v>220</v>
      </c>
      <c r="C34" t="s">
        <v>221</v>
      </c>
      <c r="D34" s="21">
        <v>0.48</v>
      </c>
      <c r="E34">
        <v>-9</v>
      </c>
      <c r="F34" t="s">
        <v>207</v>
      </c>
    </row>
    <row r="35" spans="1:6" x14ac:dyDescent="0.35">
      <c r="A35" t="s">
        <v>36</v>
      </c>
      <c r="B35" t="s">
        <v>222</v>
      </c>
      <c r="C35" t="s">
        <v>223</v>
      </c>
      <c r="D35" s="21">
        <v>0.27</v>
      </c>
      <c r="E35">
        <v>-20</v>
      </c>
      <c r="F35" t="s">
        <v>161</v>
      </c>
    </row>
    <row r="36" spans="1:6" x14ac:dyDescent="0.35">
      <c r="A36" t="s">
        <v>37</v>
      </c>
      <c r="B36" t="s">
        <v>224</v>
      </c>
      <c r="C36" t="s">
        <v>225</v>
      </c>
      <c r="D36" s="21">
        <v>0.27</v>
      </c>
      <c r="E36">
        <v>-32</v>
      </c>
      <c r="F36" t="s">
        <v>152</v>
      </c>
    </row>
    <row r="37" spans="1:6" x14ac:dyDescent="0.35">
      <c r="A37" t="s">
        <v>38</v>
      </c>
      <c r="B37" t="s">
        <v>226</v>
      </c>
      <c r="C37" t="s">
        <v>227</v>
      </c>
      <c r="D37" s="21">
        <v>0.4</v>
      </c>
      <c r="E37">
        <v>-1</v>
      </c>
      <c r="F37" t="s">
        <v>187</v>
      </c>
    </row>
    <row r="38" spans="1:6" x14ac:dyDescent="0.35">
      <c r="A38" t="s">
        <v>39</v>
      </c>
      <c r="B38" t="s">
        <v>228</v>
      </c>
      <c r="C38" t="s">
        <v>189</v>
      </c>
      <c r="D38" s="21">
        <v>0.53</v>
      </c>
      <c r="E38">
        <v>-2</v>
      </c>
      <c r="F38" t="s">
        <v>187</v>
      </c>
    </row>
    <row r="39" spans="1:6" x14ac:dyDescent="0.35">
      <c r="A39" t="s">
        <v>40</v>
      </c>
      <c r="B39" t="s">
        <v>229</v>
      </c>
      <c r="C39" t="s">
        <v>230</v>
      </c>
      <c r="D39" s="21">
        <v>0.41</v>
      </c>
      <c r="E39">
        <v>-36</v>
      </c>
      <c r="F39" t="s">
        <v>207</v>
      </c>
    </row>
    <row r="40" spans="1:6" x14ac:dyDescent="0.35">
      <c r="A40" t="s">
        <v>41</v>
      </c>
      <c r="B40" t="s">
        <v>231</v>
      </c>
      <c r="C40" t="s">
        <v>232</v>
      </c>
      <c r="D40" s="21">
        <v>0.38</v>
      </c>
      <c r="E40">
        <v>-2</v>
      </c>
      <c r="F40" t="s">
        <v>152</v>
      </c>
    </row>
    <row r="41" spans="1:6" x14ac:dyDescent="0.35">
      <c r="A41" t="s">
        <v>42</v>
      </c>
      <c r="B41" t="s">
        <v>233</v>
      </c>
      <c r="C41" t="s">
        <v>234</v>
      </c>
      <c r="D41" s="21">
        <v>0.38</v>
      </c>
    </row>
    <row r="42" spans="1:6" x14ac:dyDescent="0.35">
      <c r="A42" t="s">
        <v>43</v>
      </c>
      <c r="B42" t="s">
        <v>235</v>
      </c>
      <c r="C42" t="s">
        <v>236</v>
      </c>
      <c r="D42" s="21">
        <v>0.49</v>
      </c>
    </row>
    <row r="43" spans="1:6" x14ac:dyDescent="0.35">
      <c r="A43" t="s">
        <v>44</v>
      </c>
      <c r="B43" t="s">
        <v>237</v>
      </c>
      <c r="C43" t="s">
        <v>238</v>
      </c>
      <c r="D43" s="21">
        <v>0.5</v>
      </c>
    </row>
    <row r="44" spans="1:6" x14ac:dyDescent="0.35">
      <c r="A44" t="s">
        <v>45</v>
      </c>
      <c r="B44" t="s">
        <v>239</v>
      </c>
      <c r="C44" t="s">
        <v>240</v>
      </c>
      <c r="D44" s="21">
        <v>0.42</v>
      </c>
    </row>
    <row r="45" spans="1:6" x14ac:dyDescent="0.35">
      <c r="A45" t="s">
        <v>45</v>
      </c>
      <c r="B45" t="s">
        <v>239</v>
      </c>
      <c r="C45" t="s">
        <v>240</v>
      </c>
      <c r="D45" s="21">
        <v>0.42</v>
      </c>
    </row>
    <row r="46" spans="1:6" x14ac:dyDescent="0.35">
      <c r="A46" t="s">
        <v>46</v>
      </c>
      <c r="B46" t="s">
        <v>241</v>
      </c>
      <c r="C46" t="s">
        <v>242</v>
      </c>
      <c r="D46" s="21">
        <v>0.02</v>
      </c>
    </row>
    <row r="47" spans="1:6" x14ac:dyDescent="0.35">
      <c r="A47" t="s">
        <v>47</v>
      </c>
      <c r="B47" t="s">
        <v>154</v>
      </c>
      <c r="C47" t="s">
        <v>243</v>
      </c>
      <c r="D47" s="21">
        <v>0.5</v>
      </c>
    </row>
    <row r="48" spans="1:6" x14ac:dyDescent="0.35">
      <c r="A48" t="s">
        <v>48</v>
      </c>
      <c r="B48" t="s">
        <v>244</v>
      </c>
      <c r="C48" t="s">
        <v>245</v>
      </c>
      <c r="D48" s="21">
        <v>0.33</v>
      </c>
    </row>
    <row r="49" spans="1:6" x14ac:dyDescent="0.35">
      <c r="A49" t="s">
        <v>49</v>
      </c>
      <c r="B49" t="s">
        <v>246</v>
      </c>
      <c r="C49" t="s">
        <v>247</v>
      </c>
      <c r="D49" s="21">
        <v>0.49</v>
      </c>
    </row>
    <row r="50" spans="1:6" x14ac:dyDescent="0.35">
      <c r="A50" t="s">
        <v>50</v>
      </c>
      <c r="B50" t="s">
        <v>248</v>
      </c>
      <c r="C50" t="s">
        <v>249</v>
      </c>
      <c r="D50" s="21">
        <v>0.38</v>
      </c>
    </row>
    <row r="51" spans="1:6" x14ac:dyDescent="0.35">
      <c r="A51" t="s">
        <v>51</v>
      </c>
      <c r="B51" t="s">
        <v>250</v>
      </c>
      <c r="C51" t="s">
        <v>251</v>
      </c>
      <c r="D51" s="21">
        <v>0.61</v>
      </c>
    </row>
    <row r="52" spans="1:6" x14ac:dyDescent="0.35">
      <c r="A52" t="s">
        <v>52</v>
      </c>
      <c r="B52" t="s">
        <v>252</v>
      </c>
      <c r="C52" t="s">
        <v>253</v>
      </c>
      <c r="D52" s="21">
        <v>0.5</v>
      </c>
    </row>
    <row r="53" spans="1:6" x14ac:dyDescent="0.35">
      <c r="A53" t="s">
        <v>53</v>
      </c>
      <c r="B53" t="s">
        <v>254</v>
      </c>
      <c r="C53" t="s">
        <v>255</v>
      </c>
      <c r="D53" s="21">
        <v>0.02</v>
      </c>
    </row>
    <row r="54" spans="1:6" x14ac:dyDescent="0.35">
      <c r="A54" t="s">
        <v>54</v>
      </c>
      <c r="B54" t="s">
        <v>252</v>
      </c>
      <c r="C54" t="s">
        <v>256</v>
      </c>
      <c r="D54" s="21">
        <v>0.22</v>
      </c>
    </row>
    <row r="55" spans="1:6" x14ac:dyDescent="0.35">
      <c r="A55" t="s">
        <v>55</v>
      </c>
      <c r="B55" t="s">
        <v>257</v>
      </c>
      <c r="C55" t="s">
        <v>258</v>
      </c>
      <c r="D55" s="21">
        <v>0.03</v>
      </c>
    </row>
    <row r="56" spans="1:6" x14ac:dyDescent="0.35">
      <c r="A56" t="s">
        <v>56</v>
      </c>
      <c r="B56" t="s">
        <v>176</v>
      </c>
      <c r="C56" t="s">
        <v>259</v>
      </c>
      <c r="D56" s="21">
        <v>0.41</v>
      </c>
    </row>
    <row r="57" spans="1:6" x14ac:dyDescent="0.35">
      <c r="A57" t="s">
        <v>57</v>
      </c>
      <c r="B57" t="s">
        <v>260</v>
      </c>
      <c r="C57" t="s">
        <v>261</v>
      </c>
      <c r="D57" s="21">
        <v>0.45</v>
      </c>
    </row>
    <row r="58" spans="1:6" x14ac:dyDescent="0.35">
      <c r="A58" t="s">
        <v>58</v>
      </c>
      <c r="B58" t="s">
        <v>262</v>
      </c>
      <c r="C58" t="s">
        <v>259</v>
      </c>
      <c r="D58" s="21">
        <v>0.48</v>
      </c>
    </row>
    <row r="59" spans="1:6" x14ac:dyDescent="0.35">
      <c r="A59" t="s">
        <v>59</v>
      </c>
      <c r="B59" t="s">
        <v>176</v>
      </c>
      <c r="C59" t="s">
        <v>263</v>
      </c>
      <c r="D59" s="21">
        <v>0.49</v>
      </c>
    </row>
    <row r="60" spans="1:6" x14ac:dyDescent="0.35">
      <c r="A60" t="s">
        <v>60</v>
      </c>
      <c r="B60" t="s">
        <v>264</v>
      </c>
      <c r="C60" t="s">
        <v>265</v>
      </c>
      <c r="D60" s="21">
        <v>0.27</v>
      </c>
    </row>
    <row r="61" spans="1:6" x14ac:dyDescent="0.35">
      <c r="A61" t="s">
        <v>57</v>
      </c>
      <c r="B61" t="s">
        <v>266</v>
      </c>
      <c r="C61" t="s">
        <v>267</v>
      </c>
      <c r="D61" s="21">
        <v>0.55000000000000004</v>
      </c>
    </row>
    <row r="62" spans="1:6" x14ac:dyDescent="0.35">
      <c r="A62" t="s">
        <v>61</v>
      </c>
      <c r="B62" t="s">
        <v>268</v>
      </c>
      <c r="C62" t="s">
        <v>269</v>
      </c>
      <c r="D62" s="21">
        <v>0.13</v>
      </c>
      <c r="E62">
        <v>-6</v>
      </c>
      <c r="F62" t="s">
        <v>270</v>
      </c>
    </row>
    <row r="63" spans="1:6" x14ac:dyDescent="0.35">
      <c r="A63" t="s">
        <v>62</v>
      </c>
      <c r="B63" t="s">
        <v>271</v>
      </c>
      <c r="C63" t="s">
        <v>272</v>
      </c>
      <c r="D63" s="21">
        <v>0.54</v>
      </c>
      <c r="E63">
        <v>-10</v>
      </c>
      <c r="F63" t="s">
        <v>273</v>
      </c>
    </row>
    <row r="64" spans="1:6" x14ac:dyDescent="0.35">
      <c r="A64" t="s">
        <v>63</v>
      </c>
      <c r="B64" t="s">
        <v>274</v>
      </c>
      <c r="C64" t="s">
        <v>275</v>
      </c>
      <c r="D64" s="21">
        <v>0.55000000000000004</v>
      </c>
      <c r="E64">
        <v>-13</v>
      </c>
      <c r="F64" t="s">
        <v>276</v>
      </c>
    </row>
    <row r="65" spans="1:6" x14ac:dyDescent="0.35">
      <c r="A65" t="s">
        <v>64</v>
      </c>
      <c r="B65" t="s">
        <v>277</v>
      </c>
      <c r="C65" t="s">
        <v>278</v>
      </c>
      <c r="D65" s="21">
        <v>0.49</v>
      </c>
      <c r="E65">
        <v>-69</v>
      </c>
      <c r="F65" t="s">
        <v>279</v>
      </c>
    </row>
    <row r="66" spans="1:6" x14ac:dyDescent="0.35">
      <c r="A66" t="s">
        <v>65</v>
      </c>
      <c r="B66" t="s">
        <v>280</v>
      </c>
      <c r="C66" t="s">
        <v>281</v>
      </c>
      <c r="D66" s="21">
        <v>0.52</v>
      </c>
      <c r="E66">
        <v>-15</v>
      </c>
      <c r="F66" t="s">
        <v>282</v>
      </c>
    </row>
    <row r="67" spans="1:6" x14ac:dyDescent="0.35">
      <c r="A67" t="s">
        <v>66</v>
      </c>
      <c r="B67" t="s">
        <v>283</v>
      </c>
      <c r="C67" t="s">
        <v>284</v>
      </c>
      <c r="D67" s="21">
        <v>0.22</v>
      </c>
      <c r="E67">
        <v>-16</v>
      </c>
      <c r="F67" t="s">
        <v>285</v>
      </c>
    </row>
    <row r="68" spans="1:6" x14ac:dyDescent="0.35">
      <c r="A68" t="s">
        <v>67</v>
      </c>
      <c r="B68" t="s">
        <v>177</v>
      </c>
      <c r="C68" t="s">
        <v>286</v>
      </c>
      <c r="D68" s="21">
        <v>0.45</v>
      </c>
      <c r="E68">
        <v>-6</v>
      </c>
      <c r="F68" t="s">
        <v>287</v>
      </c>
    </row>
    <row r="69" spans="1:6" x14ac:dyDescent="0.35">
      <c r="A69" t="s">
        <v>68</v>
      </c>
      <c r="B69" t="s">
        <v>288</v>
      </c>
      <c r="C69" t="s">
        <v>243</v>
      </c>
      <c r="D69" s="21">
        <v>0.5</v>
      </c>
      <c r="E69">
        <v>-7</v>
      </c>
      <c r="F69" t="s">
        <v>289</v>
      </c>
    </row>
    <row r="70" spans="1:6" x14ac:dyDescent="0.35">
      <c r="A70" t="s">
        <v>69</v>
      </c>
      <c r="B70" t="s">
        <v>290</v>
      </c>
      <c r="C70" t="s">
        <v>291</v>
      </c>
      <c r="D70" s="21">
        <v>0.39</v>
      </c>
      <c r="E70">
        <v>-5</v>
      </c>
      <c r="F70" t="s">
        <v>273</v>
      </c>
    </row>
    <row r="71" spans="1:6" x14ac:dyDescent="0.35">
      <c r="A71" t="s">
        <v>70</v>
      </c>
      <c r="B71" t="s">
        <v>217</v>
      </c>
      <c r="C71" t="s">
        <v>292</v>
      </c>
      <c r="D71" s="21">
        <v>0.45</v>
      </c>
      <c r="E71">
        <v>-17</v>
      </c>
      <c r="F71" t="s">
        <v>293</v>
      </c>
    </row>
    <row r="72" spans="1:6" x14ac:dyDescent="0.35">
      <c r="A72" t="s">
        <v>71</v>
      </c>
      <c r="B72" t="s">
        <v>294</v>
      </c>
      <c r="C72" t="s">
        <v>295</v>
      </c>
      <c r="D72" s="21">
        <v>0.28999999999999998</v>
      </c>
      <c r="E72">
        <v>-5</v>
      </c>
      <c r="F72" t="s">
        <v>273</v>
      </c>
    </row>
    <row r="73" spans="1:6" x14ac:dyDescent="0.35">
      <c r="A73" t="s">
        <v>72</v>
      </c>
      <c r="B73" t="s">
        <v>296</v>
      </c>
      <c r="C73" t="s">
        <v>297</v>
      </c>
      <c r="D73" s="21">
        <v>0.43</v>
      </c>
      <c r="E73">
        <v>-6</v>
      </c>
      <c r="F73" t="s">
        <v>289</v>
      </c>
    </row>
    <row r="74" spans="1:6" x14ac:dyDescent="0.35">
      <c r="A74" t="s">
        <v>73</v>
      </c>
      <c r="B74" t="s">
        <v>298</v>
      </c>
      <c r="C74" t="s">
        <v>299</v>
      </c>
      <c r="D74" s="21">
        <v>0.43</v>
      </c>
      <c r="E74">
        <v>-5</v>
      </c>
      <c r="F74" t="s">
        <v>273</v>
      </c>
    </row>
    <row r="75" spans="1:6" x14ac:dyDescent="0.35">
      <c r="A75" t="s">
        <v>74</v>
      </c>
      <c r="B75" t="s">
        <v>300</v>
      </c>
      <c r="C75" t="s">
        <v>286</v>
      </c>
      <c r="D75" s="21">
        <v>0.47</v>
      </c>
      <c r="E75">
        <v>-6</v>
      </c>
      <c r="F75" t="s">
        <v>287</v>
      </c>
    </row>
    <row r="76" spans="1:6" x14ac:dyDescent="0.35">
      <c r="A76" t="s">
        <v>75</v>
      </c>
      <c r="B76" t="s">
        <v>301</v>
      </c>
      <c r="C76" t="s">
        <v>302</v>
      </c>
      <c r="D76" s="21">
        <v>0.47</v>
      </c>
      <c r="E76">
        <v>-7</v>
      </c>
      <c r="F76" t="s">
        <v>276</v>
      </c>
    </row>
    <row r="77" spans="1:6" x14ac:dyDescent="0.35">
      <c r="A77" t="s">
        <v>76</v>
      </c>
      <c r="B77" t="s">
        <v>303</v>
      </c>
      <c r="C77" t="s">
        <v>304</v>
      </c>
      <c r="D77" s="21">
        <v>0.47</v>
      </c>
    </row>
    <row r="78" spans="1:6" x14ac:dyDescent="0.35">
      <c r="A78" t="s">
        <v>77</v>
      </c>
      <c r="B78" t="s">
        <v>305</v>
      </c>
      <c r="C78" t="s">
        <v>248</v>
      </c>
      <c r="D78" s="21">
        <v>0.43</v>
      </c>
    </row>
    <row r="79" spans="1:6" x14ac:dyDescent="0.35">
      <c r="A79" t="s">
        <v>78</v>
      </c>
      <c r="B79" t="s">
        <v>306</v>
      </c>
      <c r="C79" t="s">
        <v>307</v>
      </c>
      <c r="D79" s="21">
        <v>0.04</v>
      </c>
    </row>
    <row r="80" spans="1:6" x14ac:dyDescent="0.35">
      <c r="A80" t="s">
        <v>79</v>
      </c>
      <c r="B80" t="s">
        <v>308</v>
      </c>
      <c r="C80" t="s">
        <v>309</v>
      </c>
      <c r="D80" s="21">
        <v>0.49</v>
      </c>
    </row>
    <row r="81" spans="1:6" x14ac:dyDescent="0.35">
      <c r="A81" t="s">
        <v>80</v>
      </c>
      <c r="B81" t="s">
        <v>310</v>
      </c>
      <c r="C81" t="s">
        <v>156</v>
      </c>
      <c r="D81" s="21">
        <v>0.46</v>
      </c>
      <c r="E81">
        <v>-1</v>
      </c>
      <c r="F81" t="s">
        <v>273</v>
      </c>
    </row>
    <row r="82" spans="1:6" x14ac:dyDescent="0.35">
      <c r="A82" t="s">
        <v>81</v>
      </c>
      <c r="B82" t="s">
        <v>311</v>
      </c>
      <c r="C82" t="s">
        <v>312</v>
      </c>
      <c r="D82" s="21">
        <v>0.49</v>
      </c>
      <c r="E82">
        <v>-1</v>
      </c>
      <c r="F82" t="s">
        <v>187</v>
      </c>
    </row>
    <row r="83" spans="1:6" x14ac:dyDescent="0.35">
      <c r="A83" t="s">
        <v>82</v>
      </c>
      <c r="B83" t="s">
        <v>313</v>
      </c>
      <c r="C83" t="s">
        <v>314</v>
      </c>
      <c r="D83" s="21">
        <v>0.36</v>
      </c>
    </row>
    <row r="84" spans="1:6" x14ac:dyDescent="0.35">
      <c r="A84" t="s">
        <v>83</v>
      </c>
      <c r="B84" t="s">
        <v>315</v>
      </c>
      <c r="C84" t="s">
        <v>255</v>
      </c>
      <c r="D84" s="21">
        <v>0.02</v>
      </c>
    </row>
    <row r="85" spans="1:6" x14ac:dyDescent="0.35">
      <c r="A85" t="s">
        <v>84</v>
      </c>
      <c r="B85" t="s">
        <v>316</v>
      </c>
      <c r="C85" t="s">
        <v>209</v>
      </c>
      <c r="D85" s="21">
        <v>0.49</v>
      </c>
      <c r="E85">
        <v>-1</v>
      </c>
      <c r="F85" t="s">
        <v>167</v>
      </c>
    </row>
    <row r="86" spans="1:6" x14ac:dyDescent="0.35">
      <c r="A86" t="s">
        <v>45</v>
      </c>
      <c r="B86" t="s">
        <v>239</v>
      </c>
      <c r="C86" t="s">
        <v>240</v>
      </c>
      <c r="D86" s="21">
        <v>0.42</v>
      </c>
    </row>
    <row r="87" spans="1:6" x14ac:dyDescent="0.35">
      <c r="A87" t="s">
        <v>51</v>
      </c>
      <c r="B87" t="s">
        <v>317</v>
      </c>
      <c r="C87" t="s">
        <v>296</v>
      </c>
      <c r="D87" s="21">
        <v>0.49</v>
      </c>
    </row>
    <row r="88" spans="1:6" x14ac:dyDescent="0.35">
      <c r="A88" t="s">
        <v>85</v>
      </c>
      <c r="B88" t="s">
        <v>318</v>
      </c>
      <c r="C88" t="s">
        <v>255</v>
      </c>
      <c r="D88" s="21">
        <v>0.14000000000000001</v>
      </c>
    </row>
    <row r="89" spans="1:6" x14ac:dyDescent="0.35">
      <c r="A89" t="s">
        <v>86</v>
      </c>
      <c r="B89" t="s">
        <v>319</v>
      </c>
      <c r="C89" t="s">
        <v>320</v>
      </c>
      <c r="D89" s="21">
        <v>0.49</v>
      </c>
    </row>
    <row r="90" spans="1:6" x14ac:dyDescent="0.35">
      <c r="A90" t="s">
        <v>87</v>
      </c>
      <c r="B90" t="s">
        <v>176</v>
      </c>
      <c r="C90" t="s">
        <v>261</v>
      </c>
      <c r="D90" s="21">
        <v>0.11</v>
      </c>
    </row>
    <row r="91" spans="1:6" x14ac:dyDescent="0.35">
      <c r="A91" t="s">
        <v>59</v>
      </c>
      <c r="B91" t="s">
        <v>321</v>
      </c>
      <c r="C91" t="s">
        <v>322</v>
      </c>
      <c r="D91" s="21">
        <v>0.49</v>
      </c>
    </row>
    <row r="92" spans="1:6" x14ac:dyDescent="0.35">
      <c r="A92" t="s">
        <v>88</v>
      </c>
      <c r="B92" t="s">
        <v>323</v>
      </c>
      <c r="C92" t="s">
        <v>255</v>
      </c>
      <c r="D92" s="21">
        <v>0.14000000000000001</v>
      </c>
    </row>
    <row r="93" spans="1:6" x14ac:dyDescent="0.35">
      <c r="A93" t="s">
        <v>89</v>
      </c>
      <c r="B93" t="s">
        <v>324</v>
      </c>
      <c r="C93" t="s">
        <v>325</v>
      </c>
      <c r="D93" s="21">
        <v>0.43</v>
      </c>
    </row>
    <row r="94" spans="1:6" x14ac:dyDescent="0.35">
      <c r="A94" t="s">
        <v>90</v>
      </c>
      <c r="B94" t="s">
        <v>326</v>
      </c>
      <c r="C94" t="s">
        <v>327</v>
      </c>
      <c r="D94" s="21">
        <v>0.5</v>
      </c>
    </row>
    <row r="95" spans="1:6" x14ac:dyDescent="0.35">
      <c r="A95" t="s">
        <v>91</v>
      </c>
      <c r="B95" t="s">
        <v>328</v>
      </c>
      <c r="C95" t="s">
        <v>269</v>
      </c>
      <c r="D95" s="21">
        <v>0.48</v>
      </c>
    </row>
    <row r="96" spans="1:6" x14ac:dyDescent="0.35">
      <c r="A96" t="s">
        <v>92</v>
      </c>
      <c r="B96" t="s">
        <v>329</v>
      </c>
      <c r="C96" t="s">
        <v>330</v>
      </c>
      <c r="D96" s="21">
        <v>0.48</v>
      </c>
    </row>
    <row r="97" spans="1:6" x14ac:dyDescent="0.35">
      <c r="A97" t="s">
        <v>93</v>
      </c>
      <c r="B97" t="s">
        <v>299</v>
      </c>
      <c r="C97" t="s">
        <v>255</v>
      </c>
      <c r="D97" s="21">
        <v>0.47</v>
      </c>
    </row>
    <row r="98" spans="1:6" x14ac:dyDescent="0.35">
      <c r="A98" t="s">
        <v>93</v>
      </c>
      <c r="B98" t="s">
        <v>299</v>
      </c>
      <c r="C98" t="s">
        <v>255</v>
      </c>
      <c r="D98" s="21">
        <v>0.47</v>
      </c>
    </row>
    <row r="99" spans="1:6" x14ac:dyDescent="0.35">
      <c r="A99" t="s">
        <v>94</v>
      </c>
      <c r="B99" t="s">
        <v>248</v>
      </c>
      <c r="C99" t="s">
        <v>331</v>
      </c>
      <c r="D99" s="21">
        <v>0.5</v>
      </c>
    </row>
    <row r="100" spans="1:6" x14ac:dyDescent="0.35">
      <c r="A100" t="s">
        <v>95</v>
      </c>
      <c r="B100" t="s">
        <v>332</v>
      </c>
      <c r="C100" t="s">
        <v>254</v>
      </c>
      <c r="D100" s="21">
        <v>0.08</v>
      </c>
    </row>
    <row r="101" spans="1:6" x14ac:dyDescent="0.35">
      <c r="A101" t="s">
        <v>96</v>
      </c>
      <c r="B101" t="s">
        <v>333</v>
      </c>
      <c r="C101" t="s">
        <v>258</v>
      </c>
      <c r="D101" s="21">
        <v>0.02</v>
      </c>
    </row>
    <row r="102" spans="1:6" x14ac:dyDescent="0.35">
      <c r="A102" t="s">
        <v>97</v>
      </c>
      <c r="B102" t="s">
        <v>334</v>
      </c>
      <c r="C102" t="s">
        <v>335</v>
      </c>
      <c r="D102" s="21">
        <v>0.49</v>
      </c>
    </row>
    <row r="103" spans="1:6" x14ac:dyDescent="0.35">
      <c r="A103" t="s">
        <v>98</v>
      </c>
      <c r="B103" t="s">
        <v>336</v>
      </c>
      <c r="C103" t="s">
        <v>192</v>
      </c>
      <c r="D103" s="21">
        <v>0.04</v>
      </c>
    </row>
    <row r="104" spans="1:6" x14ac:dyDescent="0.35">
      <c r="A104" t="s">
        <v>99</v>
      </c>
      <c r="B104" t="s">
        <v>337</v>
      </c>
      <c r="C104" t="s">
        <v>338</v>
      </c>
      <c r="D104" s="21">
        <v>0.49</v>
      </c>
    </row>
    <row r="105" spans="1:6" x14ac:dyDescent="0.35">
      <c r="A105" t="s">
        <v>100</v>
      </c>
      <c r="B105" t="s">
        <v>339</v>
      </c>
      <c r="C105" t="s">
        <v>340</v>
      </c>
      <c r="D105" s="21">
        <v>0.42</v>
      </c>
    </row>
    <row r="106" spans="1:6" x14ac:dyDescent="0.35">
      <c r="A106" t="s">
        <v>101</v>
      </c>
      <c r="B106" t="s">
        <v>341</v>
      </c>
      <c r="C106" t="s">
        <v>342</v>
      </c>
      <c r="D106" s="21">
        <v>0.21</v>
      </c>
      <c r="E106">
        <v>-1</v>
      </c>
      <c r="F106" t="s">
        <v>187</v>
      </c>
    </row>
    <row r="107" spans="1:6" x14ac:dyDescent="0.35">
      <c r="A107" t="s">
        <v>102</v>
      </c>
      <c r="B107" t="s">
        <v>343</v>
      </c>
      <c r="C107" t="s">
        <v>344</v>
      </c>
      <c r="D107" s="21">
        <v>0.41</v>
      </c>
    </row>
    <row r="108" spans="1:6" x14ac:dyDescent="0.35">
      <c r="A108" t="s">
        <v>103</v>
      </c>
      <c r="B108" t="s">
        <v>345</v>
      </c>
      <c r="C108" t="s">
        <v>346</v>
      </c>
      <c r="D108" s="21">
        <v>0.01</v>
      </c>
    </row>
    <row r="109" spans="1:6" x14ac:dyDescent="0.35">
      <c r="A109" t="s">
        <v>104</v>
      </c>
      <c r="B109" t="s">
        <v>347</v>
      </c>
      <c r="C109" t="s">
        <v>348</v>
      </c>
      <c r="D109" s="21">
        <v>0.24</v>
      </c>
    </row>
    <row r="110" spans="1:6" x14ac:dyDescent="0.35">
      <c r="A110" t="s">
        <v>105</v>
      </c>
      <c r="B110" t="s">
        <v>349</v>
      </c>
      <c r="C110" t="s">
        <v>350</v>
      </c>
      <c r="D110" s="21">
        <v>0.34</v>
      </c>
    </row>
    <row r="111" spans="1:6" x14ac:dyDescent="0.35">
      <c r="A111" t="s">
        <v>106</v>
      </c>
      <c r="B111" t="s">
        <v>244</v>
      </c>
      <c r="C111" t="s">
        <v>351</v>
      </c>
      <c r="D111" s="21">
        <v>0.34</v>
      </c>
    </row>
    <row r="112" spans="1:6" x14ac:dyDescent="0.35">
      <c r="A112" t="s">
        <v>107</v>
      </c>
      <c r="B112" t="s">
        <v>352</v>
      </c>
      <c r="C112" t="s">
        <v>255</v>
      </c>
      <c r="D112" s="21">
        <v>0.02</v>
      </c>
    </row>
    <row r="113" spans="1:6" x14ac:dyDescent="0.35">
      <c r="A113" t="s">
        <v>108</v>
      </c>
      <c r="B113" t="s">
        <v>353</v>
      </c>
      <c r="C113" t="s">
        <v>307</v>
      </c>
      <c r="D113" s="21">
        <v>0.02</v>
      </c>
    </row>
    <row r="114" spans="1:6" x14ac:dyDescent="0.35">
      <c r="A114" t="s">
        <v>109</v>
      </c>
      <c r="B114" t="s">
        <v>250</v>
      </c>
      <c r="C114" t="s">
        <v>354</v>
      </c>
      <c r="D114" s="21">
        <v>0.64</v>
      </c>
    </row>
    <row r="115" spans="1:6" x14ac:dyDescent="0.35">
      <c r="A115" t="s">
        <v>110</v>
      </c>
      <c r="B115" t="s">
        <v>309</v>
      </c>
      <c r="C115" t="s">
        <v>261</v>
      </c>
      <c r="D115" s="21">
        <v>0.5</v>
      </c>
      <c r="E115">
        <v>-1</v>
      </c>
      <c r="F115" t="s">
        <v>355</v>
      </c>
    </row>
    <row r="116" spans="1:6" x14ac:dyDescent="0.35">
      <c r="A116" t="s">
        <v>111</v>
      </c>
      <c r="B116" t="s">
        <v>356</v>
      </c>
      <c r="C116" t="s">
        <v>357</v>
      </c>
      <c r="D116" s="2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CB1CA-355C-44B5-A632-1852F64FE004}">
  <dimension ref="A1:J124"/>
  <sheetViews>
    <sheetView tabSelected="1" zoomScale="84" zoomScaleNormal="84" workbookViewId="0">
      <pane ySplit="1" topLeftCell="A2" activePane="bottomLeft" state="frozen"/>
      <selection pane="bottomLeft" activeCell="A27" sqref="A27"/>
    </sheetView>
  </sheetViews>
  <sheetFormatPr defaultRowHeight="14.5" x14ac:dyDescent="0.35"/>
  <cols>
    <col min="1" max="1" width="90.08984375" style="3" customWidth="1"/>
    <col min="2" max="2" width="18.08984375" style="5" bestFit="1" customWidth="1"/>
    <col min="3" max="3" width="13.36328125" style="5" bestFit="1" customWidth="1"/>
    <col min="4" max="4" width="19" style="5" bestFit="1" customWidth="1"/>
    <col min="5" max="5" width="23.7265625" style="5" bestFit="1" customWidth="1"/>
    <col min="6" max="6" width="16.7265625" style="19" bestFit="1" customWidth="1"/>
    <col min="7" max="7" width="23.26953125" style="7" bestFit="1" customWidth="1"/>
    <col min="8" max="8" width="11.54296875" style="9" bestFit="1" customWidth="1"/>
    <col min="9" max="9" width="21.1796875" style="11" bestFit="1" customWidth="1"/>
    <col min="10" max="10" width="20.54296875" style="3" bestFit="1" customWidth="1"/>
  </cols>
  <sheetData>
    <row r="1" spans="1:10" s="1" customFormat="1" ht="18.5" x14ac:dyDescent="0.45">
      <c r="A1" s="2" t="s">
        <v>0</v>
      </c>
      <c r="B1" s="4" t="s">
        <v>1</v>
      </c>
      <c r="C1" s="4" t="s">
        <v>113</v>
      </c>
      <c r="D1" s="4" t="s">
        <v>118</v>
      </c>
      <c r="E1" s="4" t="s">
        <v>368</v>
      </c>
      <c r="F1" s="18" t="s">
        <v>114</v>
      </c>
      <c r="G1" s="6" t="s">
        <v>117</v>
      </c>
      <c r="H1" s="8" t="s">
        <v>2</v>
      </c>
      <c r="I1" s="10" t="s">
        <v>112</v>
      </c>
      <c r="J1" s="2" t="s">
        <v>116</v>
      </c>
    </row>
    <row r="2" spans="1:10" x14ac:dyDescent="0.35">
      <c r="A2" s="3" t="s">
        <v>41</v>
      </c>
      <c r="B2" s="5">
        <v>1800</v>
      </c>
      <c r="C2" s="5">
        <v>2700</v>
      </c>
      <c r="D2" s="5" t="str">
        <f t="shared" ref="D2:D44" si="0">IF(B2&lt;1300,"Budget friendly",IF(B2&gt;2500,"Premium","Value"))</f>
        <v>Value</v>
      </c>
      <c r="E2" s="5">
        <f>'Cleaned data'!$C52-'Cleaned data'!$B52</f>
        <v>151</v>
      </c>
      <c r="F2" s="19">
        <v>0.38</v>
      </c>
      <c r="G2" s="7" t="str">
        <f t="shared" ref="G2:G44" si="1">IF(F2&lt;0.2,"Low discount",IF(F2&gt;0.4,"High discount","Medium discount"))</f>
        <v>Medium discount</v>
      </c>
      <c r="H2" s="9">
        <v>2</v>
      </c>
      <c r="I2" s="11">
        <v>4.5</v>
      </c>
      <c r="J2" s="3" t="str">
        <f t="shared" ref="J2:J44" si="2">IF(ISBLANK(I2),"Not provided",IF(I2&lt;3,"Poor",IF(I2&gt;4.5,"Excellent","Average")))</f>
        <v>Average</v>
      </c>
    </row>
    <row r="3" spans="1:10" x14ac:dyDescent="0.35">
      <c r="A3" s="3" t="s">
        <v>14</v>
      </c>
      <c r="B3" s="5">
        <v>990</v>
      </c>
      <c r="C3" s="5">
        <v>1500</v>
      </c>
      <c r="D3" s="5" t="str">
        <f t="shared" si="0"/>
        <v>Budget friendly</v>
      </c>
      <c r="E3" s="5">
        <f>'Cleaned data'!$C6-'Cleaned data'!$B6</f>
        <v>510</v>
      </c>
      <c r="F3" s="19">
        <v>0.34</v>
      </c>
      <c r="G3" s="7" t="str">
        <f t="shared" si="1"/>
        <v>Medium discount</v>
      </c>
      <c r="H3" s="9">
        <v>39</v>
      </c>
      <c r="I3" s="11">
        <v>4.7</v>
      </c>
      <c r="J3" s="3" t="str">
        <f t="shared" si="2"/>
        <v>Excellent</v>
      </c>
    </row>
    <row r="4" spans="1:10" x14ac:dyDescent="0.35">
      <c r="A4" s="3" t="s">
        <v>3</v>
      </c>
      <c r="B4" s="5">
        <v>950</v>
      </c>
      <c r="C4" s="5">
        <v>1525</v>
      </c>
      <c r="D4" s="5" t="str">
        <f t="shared" si="0"/>
        <v>Budget friendly</v>
      </c>
      <c r="E4" s="5">
        <f>'Cleaned data'!$C47-'Cleaned data'!$B47</f>
        <v>-1984.9024390243903</v>
      </c>
      <c r="F4" s="19">
        <v>0.38</v>
      </c>
      <c r="G4" s="7" t="str">
        <f t="shared" si="1"/>
        <v>Medium discount</v>
      </c>
      <c r="H4" s="9">
        <v>2</v>
      </c>
      <c r="I4" s="11">
        <v>4.5</v>
      </c>
      <c r="J4" s="3" t="str">
        <f t="shared" si="2"/>
        <v>Average</v>
      </c>
    </row>
    <row r="5" spans="1:10" x14ac:dyDescent="0.35">
      <c r="A5" s="3" t="s">
        <v>30</v>
      </c>
      <c r="B5" s="5">
        <v>1350</v>
      </c>
      <c r="C5" s="5">
        <v>1990</v>
      </c>
      <c r="D5" s="5" t="str">
        <f t="shared" si="0"/>
        <v>Value</v>
      </c>
      <c r="E5" s="5">
        <f>'Cleaned data'!$C19-'Cleaned data'!$B19</f>
        <v>1000</v>
      </c>
      <c r="F5" s="19">
        <v>0.32</v>
      </c>
      <c r="G5" s="7" t="str">
        <f t="shared" si="1"/>
        <v>Medium discount</v>
      </c>
      <c r="H5" s="9">
        <v>13</v>
      </c>
      <c r="I5" s="11">
        <v>3.8</v>
      </c>
      <c r="J5" s="3" t="str">
        <f t="shared" si="2"/>
        <v>Average</v>
      </c>
    </row>
    <row r="6" spans="1:10" x14ac:dyDescent="0.35">
      <c r="A6" s="3" t="s">
        <v>34</v>
      </c>
      <c r="B6" s="5">
        <v>980</v>
      </c>
      <c r="C6" s="5">
        <v>1490</v>
      </c>
      <c r="D6" s="5" t="str">
        <f t="shared" si="0"/>
        <v>Budget friendly</v>
      </c>
      <c r="E6" s="5">
        <f>'Cleaned data'!$C24-'Cleaned data'!$B24</f>
        <v>483</v>
      </c>
      <c r="F6" s="19">
        <v>0.34</v>
      </c>
      <c r="G6" s="7" t="str">
        <f t="shared" si="1"/>
        <v>Medium discount</v>
      </c>
      <c r="H6" s="9">
        <v>12</v>
      </c>
      <c r="I6" s="11">
        <v>4.7</v>
      </c>
      <c r="J6" s="3" t="str">
        <f t="shared" si="2"/>
        <v>Excellent</v>
      </c>
    </row>
    <row r="7" spans="1:10" x14ac:dyDescent="0.35">
      <c r="A7" s="3" t="s">
        <v>64</v>
      </c>
      <c r="B7" s="5">
        <v>445</v>
      </c>
      <c r="C7" s="5">
        <v>873</v>
      </c>
      <c r="D7" s="5" t="str">
        <f t="shared" si="0"/>
        <v>Budget friendly</v>
      </c>
      <c r="E7" s="5">
        <f>'Cleaned data'!$C2-'Cleaned data'!$B2</f>
        <v>900</v>
      </c>
      <c r="F7" s="19">
        <v>0.49</v>
      </c>
      <c r="G7" s="7" t="str">
        <f t="shared" si="1"/>
        <v>High discount</v>
      </c>
      <c r="H7" s="9">
        <v>69</v>
      </c>
      <c r="I7" s="11">
        <v>2.8</v>
      </c>
      <c r="J7" s="3" t="str">
        <f t="shared" si="2"/>
        <v>Poor</v>
      </c>
    </row>
    <row r="8" spans="1:10" x14ac:dyDescent="0.35">
      <c r="A8" s="3" t="s">
        <v>60</v>
      </c>
      <c r="B8" s="5">
        <v>2799</v>
      </c>
      <c r="C8" s="5">
        <v>3810</v>
      </c>
      <c r="D8" s="5" t="str">
        <f t="shared" si="0"/>
        <v>Premium</v>
      </c>
      <c r="E8" s="5">
        <f>'Cleaned data'!$C79-'Cleaned data'!$B79</f>
        <v>1721</v>
      </c>
      <c r="F8" s="19">
        <v>0.27</v>
      </c>
      <c r="G8" s="7" t="str">
        <f t="shared" si="1"/>
        <v>Medium discount</v>
      </c>
      <c r="J8" s="3" t="str">
        <f t="shared" si="2"/>
        <v>Not provided</v>
      </c>
    </row>
    <row r="9" spans="1:10" x14ac:dyDescent="0.35">
      <c r="A9" s="3" t="s">
        <v>12</v>
      </c>
      <c r="B9" s="5">
        <v>1600</v>
      </c>
      <c r="C9" s="5">
        <v>2929</v>
      </c>
      <c r="D9" s="5" t="str">
        <f t="shared" si="0"/>
        <v>Value</v>
      </c>
      <c r="E9" s="5">
        <f>'Cleaned data'!$C41-'Cleaned data'!$B41</f>
        <v>768</v>
      </c>
      <c r="F9" s="19">
        <v>0.45</v>
      </c>
      <c r="G9" s="7" t="str">
        <f t="shared" si="1"/>
        <v>High discount</v>
      </c>
      <c r="H9" s="9">
        <v>5</v>
      </c>
      <c r="I9" s="11">
        <v>3.8</v>
      </c>
      <c r="J9" s="3" t="str">
        <f t="shared" si="2"/>
        <v>Average</v>
      </c>
    </row>
    <row r="10" spans="1:10" x14ac:dyDescent="0.35">
      <c r="A10" s="3" t="s">
        <v>9</v>
      </c>
      <c r="B10" s="5">
        <v>2319</v>
      </c>
      <c r="C10" s="5">
        <v>3032</v>
      </c>
      <c r="D10" s="5" t="str">
        <f t="shared" si="0"/>
        <v>Value</v>
      </c>
      <c r="E10" s="5">
        <f>'Cleaned data'!$C3-'Cleaned data'!$B3</f>
        <v>510</v>
      </c>
      <c r="F10" s="19">
        <v>0.24</v>
      </c>
      <c r="G10" s="7" t="str">
        <f t="shared" si="1"/>
        <v>Medium discount</v>
      </c>
      <c r="H10" s="9">
        <v>55</v>
      </c>
      <c r="I10" s="11">
        <v>4.5999999999999996</v>
      </c>
      <c r="J10" s="3" t="str">
        <f t="shared" si="2"/>
        <v>Excellent</v>
      </c>
    </row>
    <row r="11" spans="1:10" x14ac:dyDescent="0.35">
      <c r="A11" s="3" t="s">
        <v>104</v>
      </c>
      <c r="B11" s="5">
        <v>198</v>
      </c>
      <c r="C11" s="5">
        <v>260</v>
      </c>
      <c r="D11" s="5" t="str">
        <f t="shared" si="0"/>
        <v>Budget friendly</v>
      </c>
      <c r="E11" s="5">
        <f>'Cleaned data'!$C107-'Cleaned data'!$B107</f>
        <v>37</v>
      </c>
      <c r="F11" s="19">
        <v>0.24</v>
      </c>
      <c r="G11" s="7" t="str">
        <f t="shared" si="1"/>
        <v>Medium discount</v>
      </c>
      <c r="J11" s="3" t="str">
        <f t="shared" si="2"/>
        <v>Not provided</v>
      </c>
    </row>
    <row r="12" spans="1:10" x14ac:dyDescent="0.35">
      <c r="A12" s="3" t="s">
        <v>83</v>
      </c>
      <c r="B12" s="5">
        <v>1666</v>
      </c>
      <c r="C12" s="5">
        <v>1699</v>
      </c>
      <c r="D12" s="5" t="str">
        <f t="shared" si="0"/>
        <v>Value</v>
      </c>
      <c r="E12" s="5">
        <f>'Cleaned data'!$C86-'Cleaned data'!$B86</f>
        <v>472</v>
      </c>
      <c r="F12" s="19">
        <v>0.02</v>
      </c>
      <c r="G12" s="7" t="str">
        <f t="shared" si="1"/>
        <v>Low discount</v>
      </c>
      <c r="J12" s="3" t="str">
        <f t="shared" si="2"/>
        <v>Not provided</v>
      </c>
    </row>
    <row r="13" spans="1:10" x14ac:dyDescent="0.35">
      <c r="A13" s="3" t="s">
        <v>8</v>
      </c>
      <c r="B13" s="5">
        <v>2999</v>
      </c>
      <c r="C13" s="5">
        <v>3290</v>
      </c>
      <c r="D13" s="5" t="str">
        <f t="shared" si="0"/>
        <v>Premium</v>
      </c>
      <c r="E13" s="5">
        <f>'Cleaned data'!$C14-'Cleaned data'!$B14</f>
        <v>24</v>
      </c>
      <c r="F13" s="19">
        <v>0.09</v>
      </c>
      <c r="G13" s="7" t="str">
        <f t="shared" si="1"/>
        <v>Low discount</v>
      </c>
      <c r="H13" s="9">
        <v>15</v>
      </c>
      <c r="I13" s="11">
        <v>4</v>
      </c>
      <c r="J13" s="3" t="str">
        <f t="shared" si="2"/>
        <v>Average</v>
      </c>
    </row>
    <row r="14" spans="1:10" x14ac:dyDescent="0.35">
      <c r="A14" s="3" t="s">
        <v>103</v>
      </c>
      <c r="B14" s="5">
        <v>1875</v>
      </c>
      <c r="C14" s="5">
        <v>1899</v>
      </c>
      <c r="D14" s="5" t="str">
        <f t="shared" si="0"/>
        <v>Value</v>
      </c>
      <c r="E14" s="5">
        <f>'Cleaned data'!$C106-'Cleaned data'!$B106</f>
        <v>95</v>
      </c>
      <c r="F14" s="19">
        <v>0.01</v>
      </c>
      <c r="G14" s="7" t="str">
        <f t="shared" si="1"/>
        <v>Low discount</v>
      </c>
      <c r="J14" s="3" t="str">
        <f t="shared" si="2"/>
        <v>Not provided</v>
      </c>
    </row>
    <row r="15" spans="1:10" x14ac:dyDescent="0.35">
      <c r="A15" s="3" t="s">
        <v>94</v>
      </c>
      <c r="B15" s="5">
        <v>1200</v>
      </c>
      <c r="C15" s="5">
        <v>2400</v>
      </c>
      <c r="D15" s="5" t="str">
        <f t="shared" si="0"/>
        <v>Budget friendly</v>
      </c>
      <c r="E15" s="5">
        <f>'Cleaned data'!$C98-'Cleaned data'!$B98</f>
        <v>39</v>
      </c>
      <c r="F15" s="19">
        <v>0.5</v>
      </c>
      <c r="G15" s="7" t="str">
        <f t="shared" si="1"/>
        <v>High discount</v>
      </c>
      <c r="J15" s="3" t="str">
        <f t="shared" si="2"/>
        <v>Not provided</v>
      </c>
    </row>
    <row r="16" spans="1:10" x14ac:dyDescent="0.35">
      <c r="A16" s="3" t="s">
        <v>50</v>
      </c>
      <c r="B16" s="5">
        <v>1200</v>
      </c>
      <c r="C16" s="5">
        <v>1950</v>
      </c>
      <c r="D16" s="5" t="str">
        <f t="shared" si="0"/>
        <v>Budget friendly</v>
      </c>
      <c r="E16" s="5">
        <f>'Cleaned data'!$C69-'Cleaned data'!$B69</f>
        <v>500</v>
      </c>
      <c r="F16" s="19">
        <v>0.38</v>
      </c>
      <c r="G16" s="7" t="str">
        <f t="shared" si="1"/>
        <v>Medium discount</v>
      </c>
      <c r="J16" s="3" t="str">
        <f t="shared" si="2"/>
        <v>Not provided</v>
      </c>
    </row>
    <row r="17" spans="1:10" x14ac:dyDescent="0.35">
      <c r="A17" s="3" t="s">
        <v>76</v>
      </c>
      <c r="B17" s="5">
        <v>790</v>
      </c>
      <c r="C17" s="5">
        <v>1485</v>
      </c>
      <c r="D17" s="5" t="str">
        <f t="shared" si="0"/>
        <v>Budget friendly</v>
      </c>
      <c r="E17" s="5">
        <f>'Cleaned data'!$C81-'Cleaned data'!$B81</f>
        <v>1670</v>
      </c>
      <c r="F17" s="19">
        <v>0.47</v>
      </c>
      <c r="G17" s="7" t="str">
        <f t="shared" si="1"/>
        <v>High discount</v>
      </c>
      <c r="J17" s="3" t="str">
        <f t="shared" si="2"/>
        <v>Not provided</v>
      </c>
    </row>
    <row r="18" spans="1:10" x14ac:dyDescent="0.35">
      <c r="A18" s="3" t="s">
        <v>69</v>
      </c>
      <c r="B18" s="5">
        <v>3750</v>
      </c>
      <c r="C18" s="5">
        <v>6143</v>
      </c>
      <c r="D18" s="5" t="str">
        <f t="shared" si="0"/>
        <v>Premium</v>
      </c>
      <c r="E18" s="5">
        <f>'Cleaned data'!$C43-'Cleaned data'!$B43</f>
        <v>352</v>
      </c>
      <c r="F18" s="19">
        <v>0.39</v>
      </c>
      <c r="G18" s="7" t="str">
        <f t="shared" si="1"/>
        <v>Medium discount</v>
      </c>
      <c r="H18" s="9">
        <v>5</v>
      </c>
      <c r="I18" s="11">
        <v>3</v>
      </c>
      <c r="J18" s="3" t="str">
        <f t="shared" si="2"/>
        <v>Average</v>
      </c>
    </row>
    <row r="19" spans="1:10" x14ac:dyDescent="0.35">
      <c r="A19" s="3" t="s">
        <v>68</v>
      </c>
      <c r="B19" s="5">
        <v>1000</v>
      </c>
      <c r="C19" s="5">
        <v>2000</v>
      </c>
      <c r="D19" s="5" t="str">
        <f t="shared" si="0"/>
        <v>Budget friendly</v>
      </c>
      <c r="E19" s="5">
        <f>'Cleaned data'!$C31-'Cleaned data'!$B31</f>
        <v>830</v>
      </c>
      <c r="F19" s="19">
        <v>0.5</v>
      </c>
      <c r="G19" s="7" t="str">
        <f t="shared" si="1"/>
        <v>High discount</v>
      </c>
      <c r="H19" s="9">
        <v>7</v>
      </c>
      <c r="I19" s="11">
        <v>2.2999999999999998</v>
      </c>
      <c r="J19" s="3" t="str">
        <f t="shared" si="2"/>
        <v>Poor</v>
      </c>
    </row>
    <row r="20" spans="1:10" x14ac:dyDescent="0.35">
      <c r="A20" s="3" t="s">
        <v>22</v>
      </c>
      <c r="B20" s="5">
        <v>998</v>
      </c>
      <c r="C20" s="5">
        <v>1966</v>
      </c>
      <c r="D20" s="5" t="str">
        <f t="shared" si="0"/>
        <v>Budget friendly</v>
      </c>
      <c r="E20" s="5">
        <f>'Cleaned data'!$C5-'Cleaned data'!$B5</f>
        <v>640</v>
      </c>
      <c r="F20" s="19">
        <v>0.49</v>
      </c>
      <c r="G20" s="7" t="str">
        <f t="shared" si="1"/>
        <v>High discount</v>
      </c>
      <c r="H20" s="9">
        <v>44</v>
      </c>
      <c r="I20" s="11">
        <v>4.5999999999999996</v>
      </c>
      <c r="J20" s="3" t="str">
        <f t="shared" si="2"/>
        <v>Excellent</v>
      </c>
    </row>
    <row r="21" spans="1:10" x14ac:dyDescent="0.35">
      <c r="A21" s="3" t="s">
        <v>77</v>
      </c>
      <c r="B21" s="5">
        <v>690</v>
      </c>
      <c r="C21" s="5">
        <v>1200</v>
      </c>
      <c r="D21" s="5" t="str">
        <f t="shared" si="0"/>
        <v>Budget friendly</v>
      </c>
      <c r="E21" s="5">
        <f>'Cleaned data'!$C82-'Cleaned data'!$B82</f>
        <v>470</v>
      </c>
      <c r="F21" s="19">
        <v>0.43</v>
      </c>
      <c r="G21" s="7" t="str">
        <f t="shared" si="1"/>
        <v>High discount</v>
      </c>
      <c r="J21" s="3" t="str">
        <f t="shared" si="2"/>
        <v>Not provided</v>
      </c>
    </row>
    <row r="22" spans="1:10" x14ac:dyDescent="0.35">
      <c r="A22" s="3" t="s">
        <v>23</v>
      </c>
      <c r="B22" s="5">
        <v>38</v>
      </c>
      <c r="C22" s="5">
        <v>80</v>
      </c>
      <c r="D22" s="5" t="str">
        <f t="shared" si="0"/>
        <v>Budget friendly</v>
      </c>
      <c r="E22" s="5">
        <f>'Cleaned data'!$C18-'Cleaned data'!$B18</f>
        <v>2393</v>
      </c>
      <c r="F22" s="19">
        <v>0.53</v>
      </c>
      <c r="G22" s="7" t="str">
        <f t="shared" si="1"/>
        <v>High discount</v>
      </c>
      <c r="H22" s="9">
        <v>13</v>
      </c>
      <c r="I22" s="11">
        <v>3.3</v>
      </c>
      <c r="J22" s="3" t="str">
        <f t="shared" si="2"/>
        <v>Average</v>
      </c>
    </row>
    <row r="23" spans="1:10" x14ac:dyDescent="0.35">
      <c r="A23" s="3" t="s">
        <v>97</v>
      </c>
      <c r="B23" s="5">
        <v>248</v>
      </c>
      <c r="C23" s="5">
        <v>486</v>
      </c>
      <c r="D23" s="5" t="str">
        <f t="shared" si="0"/>
        <v>Budget friendly</v>
      </c>
      <c r="E23" s="5">
        <f>'Cleaned data'!$C101-'Cleaned data'!$B101</f>
        <v>724</v>
      </c>
      <c r="F23" s="19">
        <v>0.49</v>
      </c>
      <c r="G23" s="7" t="str">
        <f t="shared" si="1"/>
        <v>High discount</v>
      </c>
      <c r="J23" s="3" t="str">
        <f t="shared" si="2"/>
        <v>Not provided</v>
      </c>
    </row>
    <row r="24" spans="1:10" x14ac:dyDescent="0.35">
      <c r="A24" s="3" t="s">
        <v>15</v>
      </c>
      <c r="B24" s="5">
        <v>552</v>
      </c>
      <c r="C24" s="5">
        <v>1035</v>
      </c>
      <c r="D24" s="5" t="str">
        <f t="shared" si="0"/>
        <v>Budget friendly</v>
      </c>
      <c r="E24" s="5">
        <f>'Cleaned data'!$C22-'Cleaned data'!$B22</f>
        <v>42</v>
      </c>
      <c r="F24" s="19">
        <v>0.47</v>
      </c>
      <c r="G24" s="7" t="str">
        <f t="shared" si="1"/>
        <v>High discount</v>
      </c>
      <c r="H24" s="9">
        <v>12</v>
      </c>
      <c r="I24" s="11">
        <v>4.8</v>
      </c>
      <c r="J24" s="3" t="str">
        <f t="shared" si="2"/>
        <v>Excellent</v>
      </c>
    </row>
    <row r="25" spans="1:10" x14ac:dyDescent="0.35">
      <c r="A25" s="3" t="s">
        <v>43</v>
      </c>
      <c r="B25" s="5">
        <v>475</v>
      </c>
      <c r="C25" s="5">
        <v>931</v>
      </c>
      <c r="D25" s="5" t="str">
        <f t="shared" si="0"/>
        <v>Budget friendly</v>
      </c>
      <c r="E25" s="5">
        <f>'Cleaned data'!$C62-'Cleaned data'!$B62</f>
        <v>67</v>
      </c>
      <c r="F25" s="19">
        <v>0.49</v>
      </c>
      <c r="G25" s="7" t="str">
        <f t="shared" si="1"/>
        <v>High discount</v>
      </c>
      <c r="J25" s="3" t="str">
        <f t="shared" si="2"/>
        <v>Not provided</v>
      </c>
    </row>
    <row r="26" spans="1:10" x14ac:dyDescent="0.35">
      <c r="A26" s="3" t="s">
        <v>24</v>
      </c>
      <c r="B26" s="5">
        <v>1860</v>
      </c>
      <c r="C26" s="5">
        <v>3220</v>
      </c>
      <c r="D26" s="5" t="str">
        <f t="shared" si="0"/>
        <v>Value</v>
      </c>
      <c r="E26" s="5">
        <f>'Cleaned data'!$C59-'Cleaned data'!$B59</f>
        <v>189</v>
      </c>
      <c r="F26" s="19">
        <v>0.42</v>
      </c>
      <c r="G26" s="7" t="str">
        <f t="shared" si="1"/>
        <v>High discount</v>
      </c>
      <c r="J26" s="3" t="str">
        <f t="shared" si="2"/>
        <v>Not provided</v>
      </c>
    </row>
    <row r="27" spans="1:10" x14ac:dyDescent="0.35">
      <c r="A27" s="3" t="s">
        <v>61</v>
      </c>
      <c r="B27" s="5">
        <v>2170</v>
      </c>
      <c r="C27" s="5">
        <v>2500</v>
      </c>
      <c r="D27" s="5" t="str">
        <f t="shared" si="0"/>
        <v>Value</v>
      </c>
      <c r="E27" s="5">
        <f>'Cleaned data'!$C35-'Cleaned data'!$B35</f>
        <v>595</v>
      </c>
      <c r="F27" s="19">
        <v>0.13</v>
      </c>
      <c r="G27" s="7" t="str">
        <f t="shared" si="1"/>
        <v>Low discount</v>
      </c>
      <c r="H27" s="9">
        <v>6</v>
      </c>
      <c r="I27" s="11">
        <v>2.5</v>
      </c>
      <c r="J27" s="3" t="str">
        <f t="shared" si="2"/>
        <v>Poor</v>
      </c>
    </row>
    <row r="28" spans="1:10" x14ac:dyDescent="0.35">
      <c r="A28" s="3" t="s">
        <v>31</v>
      </c>
      <c r="B28" s="5">
        <v>1758</v>
      </c>
      <c r="C28" s="5">
        <v>2499</v>
      </c>
      <c r="D28" s="5" t="str">
        <f t="shared" si="0"/>
        <v>Value</v>
      </c>
      <c r="E28" s="5">
        <f>'Cleaned data'!$C10-'Cleaned data'!$B10</f>
        <v>713</v>
      </c>
      <c r="F28" s="19">
        <v>0.3</v>
      </c>
      <c r="G28" s="7" t="str">
        <f t="shared" si="1"/>
        <v>Medium discount</v>
      </c>
      <c r="H28" s="9">
        <v>20</v>
      </c>
      <c r="I28" s="11">
        <v>4.0999999999999996</v>
      </c>
      <c r="J28" s="3" t="str">
        <f t="shared" si="2"/>
        <v>Average</v>
      </c>
    </row>
    <row r="29" spans="1:10" x14ac:dyDescent="0.35">
      <c r="A29" s="3" t="s">
        <v>37</v>
      </c>
      <c r="B29" s="5">
        <v>1980</v>
      </c>
      <c r="C29" s="5">
        <v>2699</v>
      </c>
      <c r="D29" s="5" t="str">
        <f t="shared" si="0"/>
        <v>Value</v>
      </c>
      <c r="E29" s="5">
        <f>'Cleaned data'!$C8-'Cleaned data'!$B8</f>
        <v>1011</v>
      </c>
      <c r="F29" s="19">
        <v>0.27</v>
      </c>
      <c r="G29" s="7" t="str">
        <f t="shared" si="1"/>
        <v>Medium discount</v>
      </c>
      <c r="H29" s="9">
        <v>32</v>
      </c>
      <c r="I29" s="11">
        <v>4.5</v>
      </c>
      <c r="J29" s="3" t="str">
        <f t="shared" si="2"/>
        <v>Average</v>
      </c>
    </row>
    <row r="30" spans="1:10" x14ac:dyDescent="0.35">
      <c r="A30" s="3" t="s">
        <v>36</v>
      </c>
      <c r="B30" s="5">
        <v>1940</v>
      </c>
      <c r="C30" s="5">
        <v>2650</v>
      </c>
      <c r="D30" s="5" t="str">
        <f t="shared" si="0"/>
        <v>Value</v>
      </c>
      <c r="E30" s="5">
        <f>'Cleaned data'!$C11-'Cleaned data'!$B11</f>
        <v>62</v>
      </c>
      <c r="F30" s="19">
        <v>0.27</v>
      </c>
      <c r="G30" s="7" t="str">
        <f t="shared" si="1"/>
        <v>Medium discount</v>
      </c>
      <c r="H30" s="9">
        <v>20</v>
      </c>
      <c r="I30" s="11">
        <v>4.7</v>
      </c>
      <c r="J30" s="3" t="str">
        <f t="shared" si="2"/>
        <v>Excellent</v>
      </c>
    </row>
    <row r="31" spans="1:10" x14ac:dyDescent="0.35">
      <c r="A31" s="3" t="s">
        <v>82</v>
      </c>
      <c r="B31" s="5">
        <v>1460</v>
      </c>
      <c r="C31" s="5">
        <v>2290</v>
      </c>
      <c r="D31" s="5" t="str">
        <f t="shared" si="0"/>
        <v>Value</v>
      </c>
      <c r="E31" s="5">
        <f>'Cleaned data'!$C85-'Cleaned data'!$B85</f>
        <v>1010</v>
      </c>
      <c r="F31" s="19">
        <v>0.36</v>
      </c>
      <c r="G31" s="7" t="str">
        <f t="shared" si="1"/>
        <v>Medium discount</v>
      </c>
      <c r="J31" s="3" t="str">
        <f t="shared" si="2"/>
        <v>Not provided</v>
      </c>
    </row>
    <row r="32" spans="1:10" x14ac:dyDescent="0.35">
      <c r="A32" s="3" t="s">
        <v>63</v>
      </c>
      <c r="B32" s="5">
        <v>2115</v>
      </c>
      <c r="C32" s="5">
        <v>4700</v>
      </c>
      <c r="D32" s="5" t="str">
        <f t="shared" si="0"/>
        <v>Value</v>
      </c>
      <c r="E32" s="5">
        <f>'Cleaned data'!$C20-'Cleaned data'!$B20</f>
        <v>968</v>
      </c>
      <c r="F32" s="19">
        <v>0.55000000000000004</v>
      </c>
      <c r="G32" s="7" t="str">
        <f t="shared" si="1"/>
        <v>High discount</v>
      </c>
      <c r="H32" s="9">
        <v>13</v>
      </c>
      <c r="I32" s="11">
        <v>2.1</v>
      </c>
      <c r="J32" s="3" t="str">
        <f t="shared" si="2"/>
        <v>Poor</v>
      </c>
    </row>
    <row r="33" spans="1:10" x14ac:dyDescent="0.35">
      <c r="A33" s="3" t="s">
        <v>109</v>
      </c>
      <c r="B33" s="5">
        <v>199</v>
      </c>
      <c r="C33" s="5">
        <v>553</v>
      </c>
      <c r="D33" s="5" t="str">
        <f t="shared" si="0"/>
        <v>Budget friendly</v>
      </c>
      <c r="E33" s="5">
        <f>'Cleaned data'!$C112-'Cleaned data'!$B112</f>
        <v>31</v>
      </c>
      <c r="F33" s="19">
        <v>0.64</v>
      </c>
      <c r="G33" s="7" t="str">
        <f t="shared" si="1"/>
        <v>High discount</v>
      </c>
      <c r="J33" s="3" t="str">
        <f t="shared" si="2"/>
        <v>Not provided</v>
      </c>
    </row>
    <row r="34" spans="1:10" x14ac:dyDescent="0.35">
      <c r="A34" s="3" t="s">
        <v>93</v>
      </c>
      <c r="B34" s="5">
        <v>899</v>
      </c>
      <c r="C34" s="5">
        <v>1699</v>
      </c>
      <c r="D34" s="5" t="str">
        <f t="shared" si="0"/>
        <v>Budget friendly</v>
      </c>
      <c r="E34" s="5">
        <f>'Cleaned data'!$C97-'Cleaned data'!$B97</f>
        <v>165</v>
      </c>
      <c r="F34" s="19">
        <v>0.47</v>
      </c>
      <c r="G34" s="7" t="str">
        <f t="shared" si="1"/>
        <v>High discount</v>
      </c>
      <c r="J34" s="3" t="str">
        <f t="shared" si="2"/>
        <v>Not provided</v>
      </c>
    </row>
    <row r="35" spans="1:10" x14ac:dyDescent="0.35">
      <c r="A35" s="3" t="s">
        <v>48</v>
      </c>
      <c r="B35" s="5">
        <v>1190</v>
      </c>
      <c r="C35" s="5">
        <v>1785</v>
      </c>
      <c r="D35" s="5" t="str">
        <f t="shared" si="0"/>
        <v>Budget friendly</v>
      </c>
      <c r="E35" s="5">
        <f>'Cleaned data'!$C67-'Cleaned data'!$B67</f>
        <v>227</v>
      </c>
      <c r="F35" s="19">
        <v>0.33</v>
      </c>
      <c r="G35" s="7" t="str">
        <f t="shared" si="1"/>
        <v>Medium discount</v>
      </c>
      <c r="J35" s="3" t="str">
        <f t="shared" si="2"/>
        <v>Not provided</v>
      </c>
    </row>
    <row r="36" spans="1:10" x14ac:dyDescent="0.35">
      <c r="A36" s="3" t="s">
        <v>79</v>
      </c>
      <c r="B36" s="5">
        <v>230</v>
      </c>
      <c r="C36" s="5">
        <v>450</v>
      </c>
      <c r="D36" s="5" t="str">
        <f t="shared" si="0"/>
        <v>Budget friendly</v>
      </c>
      <c r="E36" s="5">
        <f>'Cleaned data'!$C84-'Cleaned data'!$B84</f>
        <v>700</v>
      </c>
      <c r="F36" s="19">
        <v>0.49</v>
      </c>
      <c r="G36" s="7" t="str">
        <f t="shared" si="1"/>
        <v>High discount</v>
      </c>
      <c r="J36" s="3" t="str">
        <f t="shared" si="2"/>
        <v>Not provided</v>
      </c>
    </row>
    <row r="37" spans="1:10" x14ac:dyDescent="0.35">
      <c r="A37" s="3" t="s">
        <v>74</v>
      </c>
      <c r="B37" s="5">
        <v>968</v>
      </c>
      <c r="C37" s="5">
        <v>1814</v>
      </c>
      <c r="D37" s="5" t="str">
        <f t="shared" si="0"/>
        <v>Budget friendly</v>
      </c>
      <c r="E37" s="5">
        <f>'Cleaned data'!$C38-'Cleaned data'!$B38</f>
        <v>794</v>
      </c>
      <c r="F37" s="19">
        <v>0.47</v>
      </c>
      <c r="G37" s="7" t="str">
        <f t="shared" si="1"/>
        <v>High discount</v>
      </c>
      <c r="H37" s="9">
        <v>6</v>
      </c>
      <c r="I37" s="11">
        <v>2.2000000000000002</v>
      </c>
      <c r="J37" s="3" t="str">
        <f t="shared" si="2"/>
        <v>Poor</v>
      </c>
    </row>
    <row r="38" spans="1:10" x14ac:dyDescent="0.35">
      <c r="A38" s="3" t="s">
        <v>100</v>
      </c>
      <c r="B38" s="5">
        <v>1080</v>
      </c>
      <c r="C38" s="5">
        <v>1874</v>
      </c>
      <c r="D38" s="5" t="str">
        <f t="shared" si="0"/>
        <v>Budget friendly</v>
      </c>
      <c r="E38" s="5">
        <f>'Cleaned data'!$C104-'Cleaned data'!$B104</f>
        <v>1200</v>
      </c>
      <c r="F38" s="19">
        <v>0.42</v>
      </c>
      <c r="G38" s="7" t="str">
        <f t="shared" si="1"/>
        <v>High discount</v>
      </c>
      <c r="J38" s="3" t="str">
        <f t="shared" si="2"/>
        <v>Not provided</v>
      </c>
    </row>
    <row r="39" spans="1:10" x14ac:dyDescent="0.35">
      <c r="A39" s="3" t="s">
        <v>102</v>
      </c>
      <c r="B39" s="5">
        <v>1420</v>
      </c>
      <c r="C39" s="5">
        <v>2420</v>
      </c>
      <c r="D39" s="5" t="str">
        <f t="shared" si="0"/>
        <v>Value</v>
      </c>
      <c r="E39" s="5">
        <f>'Cleaned data'!$C105-'Cleaned data'!$B105</f>
        <v>267</v>
      </c>
      <c r="F39" s="19">
        <v>0.41</v>
      </c>
      <c r="G39" s="7" t="str">
        <f t="shared" si="1"/>
        <v>High discount</v>
      </c>
      <c r="J39" s="3" t="str">
        <f t="shared" si="2"/>
        <v>Not provided</v>
      </c>
    </row>
    <row r="40" spans="1:10" x14ac:dyDescent="0.35">
      <c r="A40" s="3" t="s">
        <v>70</v>
      </c>
      <c r="B40" s="5">
        <v>382</v>
      </c>
      <c r="C40" s="5">
        <v>700</v>
      </c>
      <c r="D40" s="5" t="str">
        <f t="shared" si="0"/>
        <v>Budget friendly</v>
      </c>
      <c r="E40" s="5">
        <f>'Cleaned data'!$C12-'Cleaned data'!$B12</f>
        <v>33</v>
      </c>
      <c r="F40" s="19">
        <v>0.45</v>
      </c>
      <c r="G40" s="7" t="str">
        <f t="shared" si="1"/>
        <v>High discount</v>
      </c>
      <c r="H40" s="9">
        <v>17</v>
      </c>
      <c r="I40" s="11">
        <v>2.6</v>
      </c>
      <c r="J40" s="3" t="str">
        <f t="shared" si="2"/>
        <v>Poor</v>
      </c>
    </row>
    <row r="41" spans="1:10" x14ac:dyDescent="0.35">
      <c r="A41" s="3" t="s">
        <v>59</v>
      </c>
      <c r="B41" s="5">
        <v>799</v>
      </c>
      <c r="C41" s="5">
        <v>1567</v>
      </c>
      <c r="D41" s="5" t="str">
        <f t="shared" si="0"/>
        <v>Budget friendly</v>
      </c>
      <c r="E41" s="5">
        <f>'Cleaned data'!$C78-'Cleaned data'!$B78</f>
        <v>1526</v>
      </c>
      <c r="F41" s="19">
        <v>0.49</v>
      </c>
      <c r="G41" s="7" t="str">
        <f t="shared" si="1"/>
        <v>High discount</v>
      </c>
      <c r="J41" s="3" t="str">
        <f t="shared" si="2"/>
        <v>Not provided</v>
      </c>
    </row>
    <row r="42" spans="1:10" x14ac:dyDescent="0.35">
      <c r="A42" s="3" t="s">
        <v>59</v>
      </c>
      <c r="B42" s="5">
        <v>657</v>
      </c>
      <c r="C42" s="5">
        <v>1288</v>
      </c>
      <c r="D42" s="5" t="str">
        <f t="shared" si="0"/>
        <v>Budget friendly</v>
      </c>
      <c r="E42" s="5">
        <f>'Cleaned data'!$C91-'Cleaned data'!$B91</f>
        <v>470</v>
      </c>
      <c r="F42" s="19">
        <v>0.49</v>
      </c>
      <c r="G42" s="7" t="str">
        <f t="shared" si="1"/>
        <v>High discount</v>
      </c>
      <c r="J42" s="3" t="str">
        <f t="shared" si="2"/>
        <v>Not provided</v>
      </c>
    </row>
    <row r="43" spans="1:10" x14ac:dyDescent="0.35">
      <c r="A43" s="3" t="s">
        <v>18</v>
      </c>
      <c r="B43" s="5">
        <v>332</v>
      </c>
      <c r="C43" s="5">
        <v>684</v>
      </c>
      <c r="D43" s="5" t="str">
        <f t="shared" si="0"/>
        <v>Budget friendly</v>
      </c>
      <c r="E43" s="5">
        <f>'Cleaned data'!$C49-'Cleaned data'!$B49</f>
        <v>504</v>
      </c>
      <c r="F43" s="19">
        <v>0.51</v>
      </c>
      <c r="G43" s="7" t="str">
        <f t="shared" si="1"/>
        <v>High discount</v>
      </c>
      <c r="H43" s="9">
        <v>2</v>
      </c>
      <c r="I43" s="11">
        <v>5</v>
      </c>
      <c r="J43" s="3" t="str">
        <f t="shared" si="2"/>
        <v>Excellent</v>
      </c>
    </row>
    <row r="44" spans="1:10" x14ac:dyDescent="0.35">
      <c r="A44" s="3" t="s">
        <v>67</v>
      </c>
      <c r="B44" s="5">
        <v>990</v>
      </c>
      <c r="C44" s="5">
        <v>1814</v>
      </c>
      <c r="D44" s="5" t="str">
        <f t="shared" si="0"/>
        <v>Budget friendly</v>
      </c>
      <c r="E44" s="5">
        <f>'Cleaned data'!$C36-'Cleaned data'!$B36</f>
        <v>220</v>
      </c>
      <c r="F44" s="19">
        <v>0.45</v>
      </c>
      <c r="G44" s="7" t="str">
        <f t="shared" si="1"/>
        <v>High discount</v>
      </c>
      <c r="H44" s="9">
        <v>6</v>
      </c>
      <c r="I44" s="11">
        <v>2.2000000000000002</v>
      </c>
      <c r="J44" s="3" t="str">
        <f t="shared" si="2"/>
        <v>Poor</v>
      </c>
    </row>
    <row r="45" spans="1:10" x14ac:dyDescent="0.35">
      <c r="A45" s="3" t="s">
        <v>120</v>
      </c>
      <c r="B45" s="5">
        <f>AVERAGE(B1:B41)</f>
        <v>1284.05</v>
      </c>
    </row>
    <row r="46" spans="1:10" x14ac:dyDescent="0.35">
      <c r="A46" s="3" t="s">
        <v>122</v>
      </c>
      <c r="B46" s="13">
        <f>AVERAGE(F1:F40)</f>
        <v>0.37666666666666676</v>
      </c>
    </row>
    <row r="47" spans="1:10" x14ac:dyDescent="0.35">
      <c r="A47" s="3" t="s">
        <v>121</v>
      </c>
      <c r="B47" s="5">
        <f>AVERAGE(C1:C42)</f>
        <v>1984.9024390243903</v>
      </c>
    </row>
    <row r="48" spans="1:10" x14ac:dyDescent="0.35">
      <c r="A48" s="3" t="s">
        <v>123</v>
      </c>
      <c r="B48" s="14">
        <f>AVERAGE(I1:I41)</f>
        <v>3.7190476190476187</v>
      </c>
    </row>
    <row r="49" spans="1:10" x14ac:dyDescent="0.35">
      <c r="A49" s="3" t="s">
        <v>99</v>
      </c>
      <c r="B49" s="5">
        <v>525</v>
      </c>
      <c r="C49" s="5">
        <v>1029</v>
      </c>
      <c r="D49" s="5" t="str">
        <f t="shared" ref="D49:D79" si="3">IF(B49&lt;1300,"Budget friendly",IF(B49&gt;2500,"Premium","Value"))</f>
        <v>Budget friendly</v>
      </c>
      <c r="E49" s="5">
        <f>'Cleaned data'!$C103-'Cleaned data'!$B103</f>
        <v>640</v>
      </c>
      <c r="F49" s="19">
        <v>0.49</v>
      </c>
      <c r="G49" s="7" t="str">
        <f t="shared" ref="G49:G79" si="4">IF(F49&lt;0.2,"Low discount",IF(F49&gt;0.4,"High discount","Medium discount"))</f>
        <v>High discount</v>
      </c>
      <c r="J49" s="3" t="str">
        <f t="shared" ref="J49:J79" si="5">IF(ISBLANK(I49),"Not provided",IF(I49&lt;3,"Poor",IF(I49&gt;4.5,"Excellent","Average")))</f>
        <v>Not provided</v>
      </c>
    </row>
    <row r="50" spans="1:10" x14ac:dyDescent="0.35">
      <c r="A50" s="3" t="s">
        <v>45</v>
      </c>
      <c r="B50" s="5">
        <v>610</v>
      </c>
      <c r="C50" s="5">
        <v>1060</v>
      </c>
      <c r="D50" s="5" t="str">
        <f t="shared" si="3"/>
        <v>Budget friendly</v>
      </c>
      <c r="E50" s="5">
        <f>'Cleaned data'!$C64-'Cleaned data'!$B64</f>
        <v>592</v>
      </c>
      <c r="F50" s="19">
        <v>0.42</v>
      </c>
      <c r="G50" s="7" t="str">
        <f t="shared" si="4"/>
        <v>High discount</v>
      </c>
      <c r="J50" s="3" t="str">
        <f t="shared" si="5"/>
        <v>Not provided</v>
      </c>
    </row>
    <row r="51" spans="1:10" x14ac:dyDescent="0.35">
      <c r="A51" s="3" t="s">
        <v>81</v>
      </c>
      <c r="B51" s="5">
        <v>979</v>
      </c>
      <c r="C51" s="5">
        <v>1920</v>
      </c>
      <c r="D51" s="5" t="str">
        <f t="shared" si="3"/>
        <v>Budget friendly</v>
      </c>
      <c r="E51" s="5">
        <f>'Cleaned data'!$C55-'Cleaned data'!$B55</f>
        <v>263</v>
      </c>
      <c r="F51" s="19">
        <v>0.49</v>
      </c>
      <c r="G51" s="7" t="str">
        <f t="shared" si="4"/>
        <v>High discount</v>
      </c>
      <c r="H51" s="9">
        <v>1</v>
      </c>
      <c r="I51" s="11">
        <v>5</v>
      </c>
      <c r="J51" s="3" t="str">
        <f t="shared" si="5"/>
        <v>Excellent</v>
      </c>
    </row>
    <row r="52" spans="1:10" x14ac:dyDescent="0.35">
      <c r="A52" s="3" t="s">
        <v>111</v>
      </c>
      <c r="B52" s="5">
        <v>169</v>
      </c>
      <c r="C52" s="5">
        <v>320</v>
      </c>
      <c r="D52" s="5" t="str">
        <f t="shared" si="3"/>
        <v>Budget friendly</v>
      </c>
      <c r="E52" s="5" t="e">
        <f>'Cleaned data'!$C113-'Cleaned data'!$B113</f>
        <v>#VALUE!</v>
      </c>
      <c r="F52" s="19">
        <v>0.47</v>
      </c>
      <c r="G52" s="7" t="str">
        <f t="shared" si="4"/>
        <v>High discount</v>
      </c>
      <c r="J52" s="3" t="str">
        <f t="shared" si="5"/>
        <v>Not provided</v>
      </c>
    </row>
    <row r="53" spans="1:10" x14ac:dyDescent="0.35">
      <c r="A53" s="3" t="s">
        <v>52</v>
      </c>
      <c r="B53" s="5">
        <v>299</v>
      </c>
      <c r="C53" s="5">
        <v>600</v>
      </c>
      <c r="D53" s="5" t="str">
        <f t="shared" si="3"/>
        <v>Budget friendly</v>
      </c>
      <c r="E53" s="5">
        <f>'Cleaned data'!$C71-'Cleaned data'!$B71</f>
        <v>317</v>
      </c>
      <c r="F53" s="19">
        <v>0.5</v>
      </c>
      <c r="G53" s="7" t="str">
        <f t="shared" si="4"/>
        <v>High discount</v>
      </c>
      <c r="J53" s="3" t="str">
        <f t="shared" si="5"/>
        <v>Not provided</v>
      </c>
    </row>
    <row r="54" spans="1:10" x14ac:dyDescent="0.35">
      <c r="A54" s="3" t="s">
        <v>49</v>
      </c>
      <c r="B54" s="5">
        <v>671</v>
      </c>
      <c r="C54" s="5">
        <v>1316</v>
      </c>
      <c r="D54" s="5" t="str">
        <f t="shared" si="3"/>
        <v>Budget friendly</v>
      </c>
      <c r="E54" s="5">
        <f>'Cleaned data'!$C68-'Cleaned data'!$B68</f>
        <v>197</v>
      </c>
      <c r="F54" s="19">
        <v>0.49</v>
      </c>
      <c r="G54" s="7" t="str">
        <f t="shared" si="4"/>
        <v>High discount</v>
      </c>
      <c r="J54" s="3" t="str">
        <f t="shared" si="5"/>
        <v>Not provided</v>
      </c>
    </row>
    <row r="55" spans="1:10" x14ac:dyDescent="0.35">
      <c r="A55" s="3" t="s">
        <v>86</v>
      </c>
      <c r="B55" s="5">
        <v>274</v>
      </c>
      <c r="C55" s="5">
        <v>537</v>
      </c>
      <c r="D55" s="5" t="str">
        <f t="shared" si="3"/>
        <v>Budget friendly</v>
      </c>
      <c r="E55" s="5">
        <f>'Cleaned data'!$C89-'Cleaned data'!$B89</f>
        <v>-3750</v>
      </c>
      <c r="F55" s="19">
        <v>0.49</v>
      </c>
      <c r="G55" s="7" t="str">
        <f t="shared" si="4"/>
        <v>High discount</v>
      </c>
      <c r="J55" s="3" t="str">
        <f t="shared" si="5"/>
        <v>Not provided</v>
      </c>
    </row>
    <row r="56" spans="1:10" x14ac:dyDescent="0.35">
      <c r="A56" s="3" t="s">
        <v>106</v>
      </c>
      <c r="B56" s="5">
        <v>1190</v>
      </c>
      <c r="C56" s="5">
        <v>1810</v>
      </c>
      <c r="D56" s="5" t="str">
        <f t="shared" si="3"/>
        <v>Budget friendly</v>
      </c>
      <c r="E56" s="5">
        <f>'Cleaned data'!$C109-'Cleaned data'!$B109</f>
        <v>401</v>
      </c>
      <c r="F56" s="19">
        <v>0.34</v>
      </c>
      <c r="G56" s="7" t="str">
        <f t="shared" si="4"/>
        <v>Medium discount</v>
      </c>
      <c r="J56" s="3" t="str">
        <f t="shared" si="5"/>
        <v>Not provided</v>
      </c>
    </row>
    <row r="57" spans="1:10" x14ac:dyDescent="0.35">
      <c r="A57" s="3" t="s">
        <v>47</v>
      </c>
      <c r="B57" s="5">
        <v>999</v>
      </c>
      <c r="C57" s="5">
        <v>2000</v>
      </c>
      <c r="D57" s="5" t="str">
        <f t="shared" si="3"/>
        <v>Budget friendly</v>
      </c>
      <c r="E57" s="5">
        <f>'Cleaned data'!$C66-'Cleaned data'!$B66</f>
        <v>1418</v>
      </c>
      <c r="F57" s="19">
        <v>0.5</v>
      </c>
      <c r="G57" s="7" t="str">
        <f t="shared" si="4"/>
        <v>High discount</v>
      </c>
      <c r="J57" s="3" t="str">
        <f t="shared" si="5"/>
        <v>Not provided</v>
      </c>
    </row>
    <row r="58" spans="1:10" x14ac:dyDescent="0.35">
      <c r="A58" s="3" t="s">
        <v>58</v>
      </c>
      <c r="B58" s="5">
        <v>699</v>
      </c>
      <c r="C58" s="5">
        <v>1343</v>
      </c>
      <c r="D58" s="5" t="str">
        <f t="shared" si="3"/>
        <v>Budget friendly</v>
      </c>
      <c r="E58" s="5">
        <f>'Cleaned data'!$C77-'Cleaned data'!$B77</f>
        <v>359</v>
      </c>
      <c r="F58" s="19">
        <v>0.48</v>
      </c>
      <c r="G58" s="7" t="str">
        <f t="shared" si="4"/>
        <v>High discount</v>
      </c>
      <c r="J58" s="3" t="str">
        <f t="shared" si="5"/>
        <v>Not provided</v>
      </c>
    </row>
    <row r="59" spans="1:10" x14ac:dyDescent="0.35">
      <c r="A59" s="3" t="s">
        <v>39</v>
      </c>
      <c r="B59" s="5">
        <v>171</v>
      </c>
      <c r="C59" s="5">
        <v>360</v>
      </c>
      <c r="D59" s="5" t="str">
        <f t="shared" si="3"/>
        <v>Budget friendly</v>
      </c>
      <c r="E59" s="5">
        <f>'Cleaned data'!$C51-'Cleaned data'!$B51</f>
        <v>941</v>
      </c>
      <c r="F59" s="19">
        <v>0.53</v>
      </c>
      <c r="G59" s="7" t="str">
        <f t="shared" si="4"/>
        <v>High discount</v>
      </c>
      <c r="H59" s="9">
        <v>2</v>
      </c>
      <c r="I59" s="11">
        <v>5</v>
      </c>
      <c r="J59" s="3" t="str">
        <f t="shared" si="5"/>
        <v>Excellent</v>
      </c>
    </row>
    <row r="60" spans="1:10" x14ac:dyDescent="0.35">
      <c r="A60" s="3" t="s">
        <v>51</v>
      </c>
      <c r="B60" s="5">
        <v>199</v>
      </c>
      <c r="C60" s="5">
        <v>504</v>
      </c>
      <c r="D60" s="5" t="str">
        <f t="shared" si="3"/>
        <v>Budget friendly</v>
      </c>
      <c r="E60" s="5">
        <f>'Cleaned data'!$C70-'Cleaned data'!$B70</f>
        <v>200</v>
      </c>
      <c r="F60" s="19">
        <v>0.61</v>
      </c>
      <c r="G60" s="7" t="str">
        <f t="shared" si="4"/>
        <v>High discount</v>
      </c>
      <c r="J60" s="3" t="str">
        <f t="shared" si="5"/>
        <v>Not provided</v>
      </c>
    </row>
    <row r="61" spans="1:10" x14ac:dyDescent="0.35">
      <c r="A61" s="3" t="s">
        <v>51</v>
      </c>
      <c r="B61" s="5">
        <v>176</v>
      </c>
      <c r="C61" s="5">
        <v>345</v>
      </c>
      <c r="D61" s="5" t="str">
        <f t="shared" si="3"/>
        <v>Budget friendly</v>
      </c>
      <c r="E61" s="5">
        <f>'Cleaned data'!$C87-'Cleaned data'!$B87</f>
        <v>153</v>
      </c>
      <c r="F61" s="19">
        <v>0.49</v>
      </c>
      <c r="G61" s="7" t="str">
        <f t="shared" si="4"/>
        <v>High discount</v>
      </c>
      <c r="J61" s="3" t="str">
        <f t="shared" si="5"/>
        <v>Not provided</v>
      </c>
    </row>
    <row r="62" spans="1:10" x14ac:dyDescent="0.35">
      <c r="A62" s="3" t="s">
        <v>78</v>
      </c>
      <c r="B62" s="5">
        <v>1732</v>
      </c>
      <c r="C62" s="5">
        <v>1799</v>
      </c>
      <c r="D62" s="5" t="str">
        <f t="shared" si="3"/>
        <v>Value</v>
      </c>
      <c r="E62" s="5">
        <f>'Cleaned data'!$C83-'Cleaned data'!$B83</f>
        <v>587</v>
      </c>
      <c r="F62" s="19">
        <v>0.04</v>
      </c>
      <c r="G62" s="7" t="str">
        <f t="shared" si="4"/>
        <v>Low discount</v>
      </c>
      <c r="J62" s="3" t="str">
        <f t="shared" si="5"/>
        <v>Not provided</v>
      </c>
    </row>
    <row r="63" spans="1:10" x14ac:dyDescent="0.35">
      <c r="A63" s="3" t="s">
        <v>56</v>
      </c>
      <c r="B63" s="5">
        <v>799</v>
      </c>
      <c r="C63" s="5">
        <v>1343</v>
      </c>
      <c r="D63" s="5" t="str">
        <f t="shared" si="3"/>
        <v>Budget friendly</v>
      </c>
      <c r="E63" s="5">
        <f>'Cleaned data'!$C75-'Cleaned data'!$B75</f>
        <v>2452</v>
      </c>
      <c r="F63" s="19">
        <v>0.41</v>
      </c>
      <c r="G63" s="7" t="str">
        <f t="shared" si="4"/>
        <v>High discount</v>
      </c>
      <c r="J63" s="3" t="str">
        <f t="shared" si="5"/>
        <v>Not provided</v>
      </c>
    </row>
    <row r="64" spans="1:10" x14ac:dyDescent="0.35">
      <c r="A64" s="3" t="s">
        <v>10</v>
      </c>
      <c r="B64" s="5">
        <v>988</v>
      </c>
      <c r="C64" s="5">
        <v>1580</v>
      </c>
      <c r="D64" s="5" t="str">
        <f t="shared" si="3"/>
        <v>Budget friendly</v>
      </c>
      <c r="E64" s="5">
        <f>'Cleaned data'!$C48-'Cleaned data'!$B48</f>
        <v>-3.7190476190476187</v>
      </c>
      <c r="F64" s="19">
        <v>0.37</v>
      </c>
      <c r="G64" s="7" t="str">
        <f t="shared" si="4"/>
        <v>Medium discount</v>
      </c>
      <c r="H64" s="9">
        <v>2</v>
      </c>
      <c r="I64" s="11">
        <v>4</v>
      </c>
      <c r="J64" s="3" t="str">
        <f t="shared" si="5"/>
        <v>Average</v>
      </c>
    </row>
    <row r="65" spans="1:10" x14ac:dyDescent="0.35">
      <c r="A65" s="3" t="s">
        <v>38</v>
      </c>
      <c r="B65" s="5">
        <v>1620</v>
      </c>
      <c r="C65" s="5">
        <v>2690</v>
      </c>
      <c r="D65" s="5" t="str">
        <f t="shared" si="3"/>
        <v>Value</v>
      </c>
      <c r="E65" s="5">
        <f>'Cleaned data'!$C53-'Cleaned data'!$B53</f>
        <v>301</v>
      </c>
      <c r="F65" s="19">
        <v>0.4</v>
      </c>
      <c r="G65" s="7" t="str">
        <f t="shared" si="4"/>
        <v>Medium discount</v>
      </c>
      <c r="H65" s="9">
        <v>1</v>
      </c>
      <c r="I65" s="11">
        <v>5</v>
      </c>
      <c r="J65" s="3" t="str">
        <f t="shared" si="5"/>
        <v>Excellent</v>
      </c>
    </row>
    <row r="66" spans="1:10" x14ac:dyDescent="0.35">
      <c r="A66" s="3" t="s">
        <v>75</v>
      </c>
      <c r="B66" s="5">
        <v>1570</v>
      </c>
      <c r="C66" s="5">
        <v>2988</v>
      </c>
      <c r="D66" s="5" t="str">
        <f t="shared" si="3"/>
        <v>Value</v>
      </c>
      <c r="E66" s="5">
        <f>'Cleaned data'!$C32-'Cleaned data'!$B32</f>
        <v>2585</v>
      </c>
      <c r="F66" s="19">
        <v>0.47</v>
      </c>
      <c r="G66" s="7" t="str">
        <f t="shared" si="4"/>
        <v>High discount</v>
      </c>
      <c r="H66" s="9">
        <v>7</v>
      </c>
      <c r="I66" s="11">
        <v>2.1</v>
      </c>
      <c r="J66" s="3" t="str">
        <f t="shared" si="5"/>
        <v>Poor</v>
      </c>
    </row>
    <row r="67" spans="1:10" x14ac:dyDescent="0.35">
      <c r="A67" s="3" t="s">
        <v>28</v>
      </c>
      <c r="B67" s="5">
        <v>420</v>
      </c>
      <c r="C67" s="5">
        <v>647</v>
      </c>
      <c r="D67" s="5" t="str">
        <f t="shared" si="3"/>
        <v>Budget friendly</v>
      </c>
      <c r="E67" s="5">
        <f>'Cleaned data'!$C4-'Cleaned data'!$B4</f>
        <v>575</v>
      </c>
      <c r="F67" s="19">
        <v>0.35</v>
      </c>
      <c r="G67" s="7" t="str">
        <f t="shared" si="4"/>
        <v>Medium discount</v>
      </c>
      <c r="H67" s="9">
        <v>49</v>
      </c>
      <c r="I67" s="11">
        <v>4.5999999999999996</v>
      </c>
      <c r="J67" s="3" t="str">
        <f t="shared" si="5"/>
        <v>Excellent</v>
      </c>
    </row>
    <row r="68" spans="1:10" x14ac:dyDescent="0.35">
      <c r="A68" s="3" t="s">
        <v>33</v>
      </c>
      <c r="B68" s="5">
        <v>185</v>
      </c>
      <c r="C68" s="5">
        <v>382</v>
      </c>
      <c r="D68" s="5" t="str">
        <f t="shared" si="3"/>
        <v>Budget friendly</v>
      </c>
      <c r="E68" s="5">
        <f>'Cleaned data'!$C27-'Cleaned data'!$B27</f>
        <v>330</v>
      </c>
      <c r="F68" s="19">
        <v>0.52</v>
      </c>
      <c r="G68" s="7" t="str">
        <f t="shared" si="4"/>
        <v>High discount</v>
      </c>
      <c r="H68" s="9">
        <v>9</v>
      </c>
      <c r="I68" s="11">
        <v>4.3</v>
      </c>
      <c r="J68" s="3" t="str">
        <f t="shared" si="5"/>
        <v>Average</v>
      </c>
    </row>
    <row r="69" spans="1:10" x14ac:dyDescent="0.35">
      <c r="A69" s="3" t="s">
        <v>26</v>
      </c>
      <c r="B69" s="5">
        <v>1650</v>
      </c>
      <c r="C69" s="5">
        <v>2150</v>
      </c>
      <c r="D69" s="5" t="str">
        <f t="shared" si="3"/>
        <v>Value</v>
      </c>
      <c r="E69" s="5">
        <f>'Cleaned data'!$C17-'Cleaned data'!$B17</f>
        <v>695</v>
      </c>
      <c r="F69" s="19">
        <v>0.23</v>
      </c>
      <c r="G69" s="7" t="str">
        <f t="shared" si="4"/>
        <v>Medium discount</v>
      </c>
      <c r="H69" s="9">
        <v>14</v>
      </c>
      <c r="I69" s="11">
        <v>4.4000000000000004</v>
      </c>
      <c r="J69" s="3" t="str">
        <f t="shared" si="5"/>
        <v>Average</v>
      </c>
    </row>
    <row r="70" spans="1:10" x14ac:dyDescent="0.35">
      <c r="A70" s="3" t="s">
        <v>13</v>
      </c>
      <c r="B70" s="5">
        <v>799</v>
      </c>
      <c r="C70" s="5">
        <v>999</v>
      </c>
      <c r="D70" s="5" t="str">
        <f t="shared" si="3"/>
        <v>Budget friendly</v>
      </c>
      <c r="E70" s="5">
        <f>'Cleaned data'!$C21-'Cleaned data'!$B21</f>
        <v>510</v>
      </c>
      <c r="F70" s="19">
        <v>0.2</v>
      </c>
      <c r="G70" s="7" t="str">
        <f t="shared" si="4"/>
        <v>Medium discount</v>
      </c>
      <c r="H70" s="9">
        <v>12</v>
      </c>
      <c r="I70" s="11">
        <v>4.0999999999999996</v>
      </c>
      <c r="J70" s="3" t="str">
        <f t="shared" si="5"/>
        <v>Average</v>
      </c>
    </row>
    <row r="71" spans="1:10" x14ac:dyDescent="0.35">
      <c r="A71" s="3" t="s">
        <v>84</v>
      </c>
      <c r="B71" s="5">
        <v>330</v>
      </c>
      <c r="C71" s="5">
        <v>647</v>
      </c>
      <c r="D71" s="5" t="str">
        <f t="shared" si="3"/>
        <v>Budget friendly</v>
      </c>
      <c r="E71" s="5">
        <f>'Cleaned data'!$C56-'Cleaned data'!$B56</f>
        <v>620</v>
      </c>
      <c r="F71" s="19">
        <v>0.49</v>
      </c>
      <c r="G71" s="7" t="str">
        <f t="shared" si="4"/>
        <v>High discount</v>
      </c>
      <c r="H71" s="9">
        <v>1</v>
      </c>
      <c r="I71" s="11">
        <v>4</v>
      </c>
      <c r="J71" s="3" t="str">
        <f t="shared" si="5"/>
        <v>Average</v>
      </c>
    </row>
    <row r="72" spans="1:10" x14ac:dyDescent="0.35">
      <c r="A72" s="3" t="s">
        <v>65</v>
      </c>
      <c r="B72" s="5">
        <v>325</v>
      </c>
      <c r="C72" s="5">
        <v>680</v>
      </c>
      <c r="D72" s="5" t="str">
        <f t="shared" si="3"/>
        <v>Budget friendly</v>
      </c>
      <c r="E72" s="5">
        <f>'Cleaned data'!$C15-'Cleaned data'!$B15</f>
        <v>1200</v>
      </c>
      <c r="F72" s="19">
        <v>0.52</v>
      </c>
      <c r="G72" s="7" t="str">
        <f t="shared" si="4"/>
        <v>High discount</v>
      </c>
      <c r="H72" s="9">
        <v>15</v>
      </c>
      <c r="I72" s="11">
        <v>2.7</v>
      </c>
      <c r="J72" s="3" t="str">
        <f t="shared" si="5"/>
        <v>Poor</v>
      </c>
    </row>
    <row r="73" spans="1:10" x14ac:dyDescent="0.35">
      <c r="A73" s="3" t="s">
        <v>101</v>
      </c>
      <c r="B73" s="5">
        <v>3640</v>
      </c>
      <c r="C73" s="5">
        <v>4588</v>
      </c>
      <c r="D73" s="5" t="str">
        <f t="shared" si="3"/>
        <v>Premium</v>
      </c>
      <c r="E73" s="5">
        <f>'Cleaned data'!$C57-'Cleaned data'!$B57</f>
        <v>1001</v>
      </c>
      <c r="F73" s="19">
        <v>0.21</v>
      </c>
      <c r="G73" s="7" t="str">
        <f t="shared" si="4"/>
        <v>Medium discount</v>
      </c>
      <c r="H73" s="9">
        <v>1</v>
      </c>
      <c r="I73" s="11">
        <v>5</v>
      </c>
      <c r="J73" s="3" t="str">
        <f t="shared" si="5"/>
        <v>Excellent</v>
      </c>
    </row>
    <row r="74" spans="1:10" x14ac:dyDescent="0.35">
      <c r="A74" s="3" t="s">
        <v>71</v>
      </c>
      <c r="B74" s="5">
        <v>2300</v>
      </c>
      <c r="C74" s="5">
        <v>3240</v>
      </c>
      <c r="D74" s="5" t="str">
        <f t="shared" si="3"/>
        <v>Value</v>
      </c>
      <c r="E74" s="5">
        <f>'Cleaned data'!$C44-'Cleaned data'!$B44</f>
        <v>824</v>
      </c>
      <c r="F74" s="19">
        <v>0.28999999999999998</v>
      </c>
      <c r="G74" s="7" t="str">
        <f t="shared" si="4"/>
        <v>Medium discount</v>
      </c>
      <c r="H74" s="9">
        <v>5</v>
      </c>
      <c r="I74" s="11">
        <v>3</v>
      </c>
      <c r="J74" s="3" t="str">
        <f t="shared" si="5"/>
        <v>Average</v>
      </c>
    </row>
    <row r="75" spans="1:10" x14ac:dyDescent="0.35">
      <c r="A75" s="3" t="s">
        <v>27</v>
      </c>
      <c r="B75" s="5">
        <v>2048</v>
      </c>
      <c r="C75" s="5">
        <v>4500</v>
      </c>
      <c r="D75" s="5" t="str">
        <f t="shared" si="3"/>
        <v>Value</v>
      </c>
      <c r="E75" s="5">
        <f>'Cleaned data'!$C30-'Cleaned data'!$B30</f>
        <v>710</v>
      </c>
      <c r="F75" s="19">
        <v>0.54</v>
      </c>
      <c r="G75" s="7" t="str">
        <f t="shared" si="4"/>
        <v>High discount</v>
      </c>
      <c r="H75" s="9">
        <v>7</v>
      </c>
      <c r="I75" s="11">
        <v>4.3</v>
      </c>
      <c r="J75" s="3" t="str">
        <f t="shared" si="5"/>
        <v>Average</v>
      </c>
    </row>
    <row r="76" spans="1:10" x14ac:dyDescent="0.35">
      <c r="A76" s="3" t="s">
        <v>20</v>
      </c>
      <c r="B76" s="5">
        <v>2025</v>
      </c>
      <c r="C76" s="5">
        <v>3971</v>
      </c>
      <c r="D76" s="5" t="str">
        <f t="shared" si="3"/>
        <v>Value</v>
      </c>
      <c r="E76" s="5">
        <f>'Cleaned data'!$C46-'Cleaned data'!$B46</f>
        <v>-0.37666666666666676</v>
      </c>
      <c r="F76" s="19">
        <v>0.49</v>
      </c>
      <c r="G76" s="7" t="str">
        <f t="shared" si="4"/>
        <v>High discount</v>
      </c>
      <c r="H76" s="9">
        <v>3</v>
      </c>
      <c r="I76" s="11">
        <v>5</v>
      </c>
      <c r="J76" s="3" t="str">
        <f t="shared" si="5"/>
        <v>Excellent</v>
      </c>
    </row>
    <row r="77" spans="1:10" x14ac:dyDescent="0.35">
      <c r="A77" s="3" t="s">
        <v>16</v>
      </c>
      <c r="B77" s="5">
        <v>501</v>
      </c>
      <c r="C77" s="5">
        <v>860</v>
      </c>
      <c r="D77" s="5" t="str">
        <f t="shared" si="3"/>
        <v>Budget friendly</v>
      </c>
      <c r="E77" s="5">
        <f>'Cleaned data'!$C33-'Cleaned data'!$B33</f>
        <v>354</v>
      </c>
      <c r="F77" s="19">
        <v>0.42</v>
      </c>
      <c r="G77" s="7" t="str">
        <f t="shared" si="4"/>
        <v>High discount</v>
      </c>
      <c r="H77" s="9">
        <v>6</v>
      </c>
      <c r="I77" s="11">
        <v>4.5</v>
      </c>
      <c r="J77" s="3" t="str">
        <f t="shared" si="5"/>
        <v>Average</v>
      </c>
    </row>
    <row r="78" spans="1:10" x14ac:dyDescent="0.35">
      <c r="A78" s="3" t="s">
        <v>11</v>
      </c>
      <c r="B78" s="5">
        <v>1274</v>
      </c>
      <c r="C78" s="5">
        <v>2800</v>
      </c>
      <c r="D78" s="5" t="str">
        <f t="shared" si="3"/>
        <v>Budget friendly</v>
      </c>
      <c r="E78" s="5">
        <f>'Cleaned data'!$C40-'Cleaned data'!$B40</f>
        <v>318</v>
      </c>
      <c r="F78" s="19">
        <v>0.55000000000000004</v>
      </c>
      <c r="G78" s="7" t="str">
        <f t="shared" si="4"/>
        <v>High discount</v>
      </c>
      <c r="H78" s="9">
        <v>5</v>
      </c>
      <c r="I78" s="11">
        <v>4.8</v>
      </c>
      <c r="J78" s="3" t="str">
        <f t="shared" si="5"/>
        <v>Excellent</v>
      </c>
    </row>
    <row r="79" spans="1:10" x14ac:dyDescent="0.35">
      <c r="A79" s="3" t="s">
        <v>42</v>
      </c>
      <c r="B79" s="5">
        <v>2750</v>
      </c>
      <c r="C79" s="5">
        <v>4471</v>
      </c>
      <c r="D79" s="5" t="str">
        <f t="shared" si="3"/>
        <v>Premium</v>
      </c>
      <c r="E79" s="5">
        <f>'Cleaned data'!$C61-'Cleaned data'!$B61</f>
        <v>169</v>
      </c>
      <c r="F79" s="19">
        <v>0.38</v>
      </c>
      <c r="G79" s="7" t="str">
        <f t="shared" si="4"/>
        <v>Medium discount</v>
      </c>
      <c r="J79" s="3" t="str">
        <f t="shared" si="5"/>
        <v>Not provided</v>
      </c>
    </row>
    <row r="80" spans="1:10" x14ac:dyDescent="0.35">
      <c r="A80" s="3" t="s">
        <v>128</v>
      </c>
      <c r="B80" s="5">
        <f>MIN(B1:B69)</f>
        <v>0.37666666666666676</v>
      </c>
    </row>
    <row r="81" spans="1:10" x14ac:dyDescent="0.35">
      <c r="A81" s="3" t="s">
        <v>35</v>
      </c>
      <c r="B81" s="5">
        <v>1820</v>
      </c>
      <c r="C81" s="5">
        <v>3490</v>
      </c>
      <c r="D81" s="5" t="str">
        <f t="shared" ref="D81:D88" si="6">IF(B81&lt;1300,"Budget friendly",IF(B81&gt;2500,"Premium","Value"))</f>
        <v>Value</v>
      </c>
      <c r="E81" s="5">
        <f>'Cleaned data'!$C28-'Cleaned data'!$B28</f>
        <v>741</v>
      </c>
      <c r="F81" s="19">
        <v>0.48</v>
      </c>
      <c r="G81" s="7" t="str">
        <f t="shared" ref="G81:G88" si="7">IF(F81&lt;0.2,"Low discount",IF(F81&gt;0.4,"High discount","Medium discount"))</f>
        <v>High discount</v>
      </c>
      <c r="H81" s="9">
        <v>9</v>
      </c>
      <c r="I81" s="11">
        <v>4.3</v>
      </c>
      <c r="J81" s="3" t="str">
        <f t="shared" ref="J81:J88" si="8">IF(ISBLANK(I81),"Not provided",IF(I81&lt;3,"Poor",IF(I81&gt;4.5,"Excellent","Average")))</f>
        <v>Average</v>
      </c>
    </row>
    <row r="82" spans="1:10" x14ac:dyDescent="0.35">
      <c r="A82" s="3" t="s">
        <v>25</v>
      </c>
      <c r="B82" s="5">
        <v>880</v>
      </c>
      <c r="C82" s="5">
        <v>1350</v>
      </c>
      <c r="D82" s="5" t="str">
        <f t="shared" si="6"/>
        <v>Budget friendly</v>
      </c>
      <c r="E82" s="5">
        <f>'Cleaned data'!$C34-'Cleaned data'!$B34</f>
        <v>800</v>
      </c>
      <c r="F82" s="19">
        <v>0.35</v>
      </c>
      <c r="G82" s="7" t="str">
        <f t="shared" si="7"/>
        <v>Medium discount</v>
      </c>
      <c r="H82" s="9">
        <v>6</v>
      </c>
      <c r="I82" s="11">
        <v>4</v>
      </c>
      <c r="J82" s="3" t="str">
        <f t="shared" si="8"/>
        <v>Average</v>
      </c>
    </row>
    <row r="83" spans="1:10" x14ac:dyDescent="0.35">
      <c r="A83" s="3" t="s">
        <v>105</v>
      </c>
      <c r="B83" s="5">
        <v>1150</v>
      </c>
      <c r="C83" s="5">
        <v>1737</v>
      </c>
      <c r="D83" s="5" t="str">
        <f t="shared" si="6"/>
        <v>Budget friendly</v>
      </c>
      <c r="E83" s="5">
        <f>'Cleaned data'!$C108-'Cleaned data'!$B108</f>
        <v>41</v>
      </c>
      <c r="F83" s="19">
        <v>0.34</v>
      </c>
      <c r="G83" s="7" t="str">
        <f t="shared" si="7"/>
        <v>Medium discount</v>
      </c>
      <c r="J83" s="3" t="str">
        <f t="shared" si="8"/>
        <v>Not provided</v>
      </c>
    </row>
    <row r="84" spans="1:10" x14ac:dyDescent="0.35">
      <c r="A84" s="3" t="s">
        <v>21</v>
      </c>
      <c r="B84" s="5">
        <v>2999</v>
      </c>
      <c r="C84" s="5">
        <v>3699</v>
      </c>
      <c r="D84" s="5" t="str">
        <f t="shared" si="6"/>
        <v>Premium</v>
      </c>
      <c r="E84" s="5">
        <f>'Cleaned data'!$C42-'Cleaned data'!$B42</f>
        <v>631</v>
      </c>
      <c r="F84" s="19">
        <v>0.19</v>
      </c>
      <c r="G84" s="7" t="str">
        <f t="shared" si="7"/>
        <v>Low discount</v>
      </c>
      <c r="H84" s="9">
        <v>5</v>
      </c>
      <c r="I84" s="11">
        <v>4.5999999999999996</v>
      </c>
      <c r="J84" s="3" t="str">
        <f t="shared" si="8"/>
        <v>Excellent</v>
      </c>
    </row>
    <row r="85" spans="1:10" x14ac:dyDescent="0.35">
      <c r="A85" s="3" t="s">
        <v>80</v>
      </c>
      <c r="B85" s="5">
        <v>1189</v>
      </c>
      <c r="C85" s="5">
        <v>2199</v>
      </c>
      <c r="D85" s="5" t="str">
        <f t="shared" si="6"/>
        <v>Budget friendly</v>
      </c>
      <c r="E85" s="5">
        <f>'Cleaned data'!$C54-'Cleaned data'!$B54</f>
        <v>645</v>
      </c>
      <c r="F85" s="19">
        <v>0.46</v>
      </c>
      <c r="G85" s="7" t="str">
        <f t="shared" si="7"/>
        <v>High discount</v>
      </c>
      <c r="H85" s="9">
        <v>1</v>
      </c>
      <c r="I85" s="11">
        <v>3</v>
      </c>
      <c r="J85" s="3" t="str">
        <f t="shared" si="8"/>
        <v>Average</v>
      </c>
    </row>
    <row r="86" spans="1:10" x14ac:dyDescent="0.35">
      <c r="A86" s="3" t="s">
        <v>4</v>
      </c>
      <c r="B86" s="5">
        <v>527</v>
      </c>
      <c r="C86" s="5">
        <v>999</v>
      </c>
      <c r="D86" s="5" t="str">
        <f t="shared" si="6"/>
        <v>Budget friendly</v>
      </c>
      <c r="E86" s="5">
        <f>'Cleaned data'!$C16-'Cleaned data'!$B16</f>
        <v>750</v>
      </c>
      <c r="F86" s="19">
        <v>0.47</v>
      </c>
      <c r="G86" s="7" t="str">
        <f t="shared" si="7"/>
        <v>High discount</v>
      </c>
      <c r="H86" s="9">
        <v>14</v>
      </c>
      <c r="I86" s="11">
        <v>4.0999999999999996</v>
      </c>
      <c r="J86" s="3" t="str">
        <f t="shared" si="8"/>
        <v>Average</v>
      </c>
    </row>
    <row r="87" spans="1:10" x14ac:dyDescent="0.35">
      <c r="A87" s="3" t="s">
        <v>98</v>
      </c>
      <c r="B87" s="5">
        <v>3546</v>
      </c>
      <c r="C87" s="5">
        <v>3699</v>
      </c>
      <c r="D87" s="5" t="str">
        <f t="shared" si="6"/>
        <v>Premium</v>
      </c>
      <c r="E87" s="5">
        <f>'Cleaned data'!$C102-'Cleaned data'!$B102</f>
        <v>37</v>
      </c>
      <c r="F87" s="19">
        <v>0.04</v>
      </c>
      <c r="G87" s="7" t="str">
        <f t="shared" si="7"/>
        <v>Low discount</v>
      </c>
      <c r="J87" s="3" t="str">
        <f t="shared" si="8"/>
        <v>Not provided</v>
      </c>
    </row>
    <row r="88" spans="1:10" x14ac:dyDescent="0.35">
      <c r="A88" s="3" t="s">
        <v>44</v>
      </c>
      <c r="B88" s="5">
        <v>238</v>
      </c>
      <c r="C88" s="5">
        <v>476</v>
      </c>
      <c r="D88" s="5" t="str">
        <f t="shared" si="6"/>
        <v>Budget friendly</v>
      </c>
      <c r="E88" s="5">
        <f>'Cleaned data'!$C63-'Cleaned data'!$B63</f>
        <v>544</v>
      </c>
      <c r="F88" s="19">
        <v>0.5</v>
      </c>
      <c r="G88" s="7" t="str">
        <f t="shared" si="7"/>
        <v>High discount</v>
      </c>
      <c r="J88" s="3" t="str">
        <f t="shared" si="8"/>
        <v>Not provided</v>
      </c>
    </row>
    <row r="89" spans="1:10" x14ac:dyDescent="0.35">
      <c r="A89" s="3" t="s">
        <v>127</v>
      </c>
      <c r="B89" s="5">
        <f>MAX(B1:B79)</f>
        <v>3750</v>
      </c>
    </row>
    <row r="90" spans="1:10" x14ac:dyDescent="0.35">
      <c r="A90" s="3" t="s">
        <v>17</v>
      </c>
      <c r="B90" s="5">
        <v>1680</v>
      </c>
      <c r="C90" s="5">
        <v>2499</v>
      </c>
      <c r="D90" s="5" t="str">
        <f t="shared" ref="D90:D110" si="9">IF(B90&lt;1300,"Budget friendly",IF(B90&gt;2500,"Premium","Value"))</f>
        <v>Value</v>
      </c>
      <c r="E90" s="5">
        <f>'Cleaned data'!$C26-'Cleaned data'!$B26</f>
        <v>1360</v>
      </c>
      <c r="F90" s="19">
        <v>0.33</v>
      </c>
      <c r="G90" s="7" t="str">
        <f t="shared" ref="G90:G110" si="10">IF(F90&lt;0.2,"Low discount",IF(F90&gt;0.4,"High discount","Medium discount"))</f>
        <v>Medium discount</v>
      </c>
      <c r="H90" s="9">
        <v>9</v>
      </c>
      <c r="I90" s="11">
        <v>4.2</v>
      </c>
      <c r="J90" s="3" t="str">
        <f t="shared" ref="J90:J110" si="11">IF(ISBLANK(I90),"Not provided",IF(I90&lt;3,"Poor",IF(I90&gt;4.5,"Excellent","Average")))</f>
        <v>Average</v>
      </c>
    </row>
    <row r="91" spans="1:10" x14ac:dyDescent="0.35">
      <c r="A91" s="3" t="s">
        <v>89</v>
      </c>
      <c r="B91" s="5">
        <v>630</v>
      </c>
      <c r="C91" s="5">
        <v>1100</v>
      </c>
      <c r="D91" s="5" t="str">
        <f t="shared" si="9"/>
        <v>Budget friendly</v>
      </c>
      <c r="E91" s="5">
        <f>'Cleaned data'!$C93-'Cleaned data'!$B93</f>
        <v>40</v>
      </c>
      <c r="F91" s="19">
        <v>0.43</v>
      </c>
      <c r="G91" s="7" t="str">
        <f t="shared" si="10"/>
        <v>High discount</v>
      </c>
      <c r="J91" s="3" t="str">
        <f t="shared" si="11"/>
        <v>Not provided</v>
      </c>
    </row>
    <row r="92" spans="1:10" x14ac:dyDescent="0.35">
      <c r="A92" s="3" t="s">
        <v>32</v>
      </c>
      <c r="B92" s="5">
        <v>2200</v>
      </c>
      <c r="C92" s="5">
        <v>4080</v>
      </c>
      <c r="D92" s="5" t="str">
        <f t="shared" si="9"/>
        <v>Value</v>
      </c>
      <c r="E92" s="5">
        <f>'Cleaned data'!$C60-'Cleaned data'!$B60</f>
        <v>305</v>
      </c>
      <c r="F92" s="19">
        <v>0.46</v>
      </c>
      <c r="G92" s="7" t="str">
        <f t="shared" si="10"/>
        <v>High discount</v>
      </c>
      <c r="J92" s="3" t="str">
        <f t="shared" si="11"/>
        <v>Not provided</v>
      </c>
    </row>
    <row r="93" spans="1:10" x14ac:dyDescent="0.35">
      <c r="A93" s="3" t="s">
        <v>55</v>
      </c>
      <c r="B93" s="5">
        <v>1459</v>
      </c>
      <c r="C93" s="5">
        <v>1499</v>
      </c>
      <c r="D93" s="5" t="str">
        <f t="shared" si="9"/>
        <v>Value</v>
      </c>
      <c r="E93" s="5">
        <f>'Cleaned data'!$C74-'Cleaned data'!$B74</f>
        <v>940</v>
      </c>
      <c r="F93" s="19">
        <v>0.03</v>
      </c>
      <c r="G93" s="7" t="str">
        <f t="shared" si="10"/>
        <v>Low discount</v>
      </c>
      <c r="J93" s="3" t="str">
        <f t="shared" si="11"/>
        <v>Not provided</v>
      </c>
    </row>
    <row r="94" spans="1:10" x14ac:dyDescent="0.35">
      <c r="A94" s="3" t="s">
        <v>62</v>
      </c>
      <c r="B94" s="5">
        <v>458</v>
      </c>
      <c r="C94" s="5">
        <v>986</v>
      </c>
      <c r="D94" s="5" t="str">
        <f t="shared" si="9"/>
        <v>Budget friendly</v>
      </c>
      <c r="E94" s="5">
        <f>'Cleaned data'!$C25-'Cleaned data'!$B25</f>
        <v>456</v>
      </c>
      <c r="F94" s="19">
        <v>0.54</v>
      </c>
      <c r="G94" s="7" t="str">
        <f t="shared" si="10"/>
        <v>High discount</v>
      </c>
      <c r="H94" s="9">
        <v>10</v>
      </c>
      <c r="I94" s="11">
        <v>3</v>
      </c>
      <c r="J94" s="3" t="str">
        <f t="shared" si="11"/>
        <v>Average</v>
      </c>
    </row>
    <row r="95" spans="1:10" x14ac:dyDescent="0.35">
      <c r="A95" s="3" t="s">
        <v>85</v>
      </c>
      <c r="B95" s="5">
        <v>1466</v>
      </c>
      <c r="C95" s="5">
        <v>1699</v>
      </c>
      <c r="D95" s="5" t="str">
        <f t="shared" si="9"/>
        <v>Value</v>
      </c>
      <c r="E95" s="5">
        <f>'Cleaned data'!$C88-'Cleaned data'!$B88</f>
        <v>238</v>
      </c>
      <c r="F95" s="19">
        <v>0.14000000000000001</v>
      </c>
      <c r="G95" s="7" t="str">
        <f t="shared" si="10"/>
        <v>Low discount</v>
      </c>
      <c r="J95" s="3" t="str">
        <f t="shared" si="11"/>
        <v>Not provided</v>
      </c>
    </row>
    <row r="96" spans="1:10" x14ac:dyDescent="0.35">
      <c r="A96" s="3" t="s">
        <v>87</v>
      </c>
      <c r="B96" s="5">
        <v>799</v>
      </c>
      <c r="C96" s="5">
        <v>900</v>
      </c>
      <c r="D96" s="5" t="str">
        <f t="shared" si="9"/>
        <v>Budget friendly</v>
      </c>
      <c r="E96" s="5">
        <f>'Cleaned data'!$C90-'Cleaned data'!$B90</f>
        <v>819</v>
      </c>
      <c r="F96" s="19">
        <v>0.11</v>
      </c>
      <c r="G96" s="7" t="str">
        <f t="shared" si="10"/>
        <v>Low discount</v>
      </c>
      <c r="J96" s="3" t="str">
        <f t="shared" si="11"/>
        <v>Not provided</v>
      </c>
    </row>
    <row r="97" spans="1:10" x14ac:dyDescent="0.35">
      <c r="A97" s="3" t="s">
        <v>19</v>
      </c>
      <c r="B97" s="5">
        <v>195</v>
      </c>
      <c r="C97" s="5">
        <v>360</v>
      </c>
      <c r="D97" s="5" t="str">
        <f t="shared" si="9"/>
        <v>Budget friendly</v>
      </c>
      <c r="E97" s="5">
        <f>'Cleaned data'!$C50-'Cleaned data'!$B50</f>
        <v>450</v>
      </c>
      <c r="F97" s="19">
        <v>0.46</v>
      </c>
      <c r="G97" s="7" t="str">
        <f t="shared" si="10"/>
        <v>High discount</v>
      </c>
      <c r="H97" s="9">
        <v>2</v>
      </c>
      <c r="I97" s="11">
        <v>5</v>
      </c>
      <c r="J97" s="3" t="str">
        <f t="shared" si="11"/>
        <v>Excellent</v>
      </c>
    </row>
    <row r="98" spans="1:10" x14ac:dyDescent="0.35">
      <c r="A98" s="3" t="s">
        <v>53</v>
      </c>
      <c r="B98" s="5">
        <v>1660</v>
      </c>
      <c r="C98" s="5">
        <v>1699</v>
      </c>
      <c r="D98" s="5" t="str">
        <f t="shared" si="9"/>
        <v>Value</v>
      </c>
      <c r="E98" s="5">
        <f>'Cleaned data'!$C72-'Cleaned data'!$B72</f>
        <v>355</v>
      </c>
      <c r="F98" s="19">
        <v>0.02</v>
      </c>
      <c r="G98" s="7" t="str">
        <f t="shared" si="10"/>
        <v>Low discount</v>
      </c>
      <c r="J98" s="3" t="str">
        <f t="shared" si="11"/>
        <v>Not provided</v>
      </c>
    </row>
    <row r="99" spans="1:10" x14ac:dyDescent="0.35">
      <c r="A99" s="3" t="s">
        <v>54</v>
      </c>
      <c r="B99" s="5">
        <v>299</v>
      </c>
      <c r="C99" s="5">
        <v>384</v>
      </c>
      <c r="D99" s="5" t="str">
        <f t="shared" si="9"/>
        <v>Budget friendly</v>
      </c>
      <c r="E99" s="5">
        <f>'Cleaned data'!$C73-'Cleaned data'!$B73</f>
        <v>948</v>
      </c>
      <c r="F99" s="19">
        <v>0.22</v>
      </c>
      <c r="G99" s="7" t="str">
        <f t="shared" si="10"/>
        <v>Medium discount</v>
      </c>
      <c r="J99" s="3" t="str">
        <f t="shared" si="11"/>
        <v>Not provided</v>
      </c>
    </row>
    <row r="100" spans="1:10" x14ac:dyDescent="0.35">
      <c r="A100" s="3" t="s">
        <v>7</v>
      </c>
      <c r="B100" s="5">
        <v>1740</v>
      </c>
      <c r="C100" s="5">
        <v>2356</v>
      </c>
      <c r="D100" s="5" t="str">
        <f t="shared" si="9"/>
        <v>Value</v>
      </c>
      <c r="E100" s="5">
        <f>'Cleaned data'!$C39-'Cleaned data'!$B39</f>
        <v>1000</v>
      </c>
      <c r="F100" s="19">
        <v>0.26</v>
      </c>
      <c r="G100" s="7" t="str">
        <f t="shared" si="10"/>
        <v>Medium discount</v>
      </c>
      <c r="H100" s="9">
        <v>5</v>
      </c>
      <c r="I100" s="11">
        <v>4.8</v>
      </c>
      <c r="J100" s="3" t="str">
        <f t="shared" si="11"/>
        <v>Excellent</v>
      </c>
    </row>
    <row r="101" spans="1:10" x14ac:dyDescent="0.35">
      <c r="A101" s="3" t="s">
        <v>5</v>
      </c>
      <c r="B101" s="5">
        <v>2199</v>
      </c>
      <c r="C101" s="5">
        <v>2923</v>
      </c>
      <c r="D101" s="5" t="str">
        <f t="shared" si="9"/>
        <v>Value</v>
      </c>
      <c r="E101" s="5">
        <f>'Cleaned data'!$C9-'Cleaned data'!$B9</f>
        <v>1329</v>
      </c>
      <c r="F101" s="19">
        <v>0.25</v>
      </c>
      <c r="G101" s="7" t="str">
        <f t="shared" si="10"/>
        <v>Medium discount</v>
      </c>
      <c r="H101" s="9">
        <v>24</v>
      </c>
      <c r="I101" s="11">
        <v>4.5999999999999996</v>
      </c>
      <c r="J101" s="3" t="str">
        <f t="shared" si="11"/>
        <v>Excellent</v>
      </c>
    </row>
    <row r="102" spans="1:10" x14ac:dyDescent="0.35">
      <c r="A102" s="3" t="s">
        <v>96</v>
      </c>
      <c r="B102" s="5">
        <v>1462</v>
      </c>
      <c r="C102" s="5">
        <v>1499</v>
      </c>
      <c r="D102" s="5" t="str">
        <f t="shared" si="9"/>
        <v>Value</v>
      </c>
      <c r="E102" s="5">
        <f>'Cleaned data'!$C100-'Cleaned data'!$B100</f>
        <v>616</v>
      </c>
      <c r="F102" s="19">
        <v>0.02</v>
      </c>
      <c r="G102" s="7" t="str">
        <f t="shared" si="10"/>
        <v>Low discount</v>
      </c>
      <c r="J102" s="3" t="str">
        <f t="shared" si="11"/>
        <v>Not provided</v>
      </c>
    </row>
    <row r="103" spans="1:10" x14ac:dyDescent="0.35">
      <c r="A103" s="3" t="s">
        <v>29</v>
      </c>
      <c r="B103" s="5">
        <v>2880</v>
      </c>
      <c r="C103" s="5">
        <v>3520</v>
      </c>
      <c r="D103" s="5" t="str">
        <f t="shared" si="9"/>
        <v>Premium</v>
      </c>
      <c r="E103" s="5">
        <f>'Cleaned data'!$C23-'Cleaned data'!$B23</f>
        <v>238</v>
      </c>
      <c r="F103" s="19">
        <v>0.18</v>
      </c>
      <c r="G103" s="7" t="str">
        <f t="shared" si="10"/>
        <v>Low discount</v>
      </c>
      <c r="H103" s="9">
        <v>12</v>
      </c>
      <c r="I103" s="11">
        <v>3.8</v>
      </c>
      <c r="J103" s="3" t="str">
        <f t="shared" si="11"/>
        <v>Average</v>
      </c>
    </row>
    <row r="104" spans="1:10" x14ac:dyDescent="0.35">
      <c r="A104" s="3" t="s">
        <v>91</v>
      </c>
      <c r="B104" s="5">
        <v>1300</v>
      </c>
      <c r="C104" s="5">
        <v>2500</v>
      </c>
      <c r="D104" s="5" t="str">
        <f t="shared" si="9"/>
        <v>Value</v>
      </c>
      <c r="E104" s="5">
        <f>'Cleaned data'!$C95-'Cleaned data'!$B95</f>
        <v>233</v>
      </c>
      <c r="F104" s="19">
        <v>0.48</v>
      </c>
      <c r="G104" s="7" t="str">
        <f t="shared" si="10"/>
        <v>High discount</v>
      </c>
      <c r="J104" s="3" t="str">
        <f t="shared" si="11"/>
        <v>Not provided</v>
      </c>
    </row>
    <row r="105" spans="1:10" x14ac:dyDescent="0.35">
      <c r="A105" s="3" t="s">
        <v>40</v>
      </c>
      <c r="B105" s="5">
        <v>389</v>
      </c>
      <c r="C105" s="5">
        <v>656</v>
      </c>
      <c r="D105" s="5" t="str">
        <f t="shared" si="9"/>
        <v>Budget friendly</v>
      </c>
      <c r="E105" s="5">
        <f>'Cleaned data'!$C7-'Cleaned data'!$B7</f>
        <v>428</v>
      </c>
      <c r="F105" s="19">
        <v>0.41</v>
      </c>
      <c r="G105" s="7" t="str">
        <f t="shared" si="10"/>
        <v>High discount</v>
      </c>
      <c r="H105" s="9">
        <v>36</v>
      </c>
      <c r="I105" s="11">
        <v>4.3</v>
      </c>
      <c r="J105" s="3" t="str">
        <f t="shared" si="11"/>
        <v>Average</v>
      </c>
    </row>
    <row r="106" spans="1:10" x14ac:dyDescent="0.35">
      <c r="A106" s="3" t="s">
        <v>92</v>
      </c>
      <c r="B106" s="5">
        <v>105</v>
      </c>
      <c r="C106" s="5">
        <v>200</v>
      </c>
      <c r="D106" s="5" t="str">
        <f t="shared" si="9"/>
        <v>Budget friendly</v>
      </c>
      <c r="E106" s="5">
        <f>'Cleaned data'!$C96-'Cleaned data'!$B96</f>
        <v>101</v>
      </c>
      <c r="F106" s="19">
        <v>0.48</v>
      </c>
      <c r="G106" s="7" t="str">
        <f t="shared" si="10"/>
        <v>High discount</v>
      </c>
      <c r="J106" s="3" t="str">
        <f t="shared" si="11"/>
        <v>Not provided</v>
      </c>
    </row>
    <row r="107" spans="1:10" x14ac:dyDescent="0.35">
      <c r="A107" s="3" t="s">
        <v>46</v>
      </c>
      <c r="B107" s="5">
        <v>2132</v>
      </c>
      <c r="C107" s="5">
        <v>2169</v>
      </c>
      <c r="D107" s="5" t="str">
        <f t="shared" si="9"/>
        <v>Value</v>
      </c>
      <c r="E107" s="5">
        <f>'Cleaned data'!$C65-'Cleaned data'!$B65</f>
        <v>1070</v>
      </c>
      <c r="F107" s="19">
        <v>0.02</v>
      </c>
      <c r="G107" s="7" t="str">
        <f t="shared" si="10"/>
        <v>Low discount</v>
      </c>
      <c r="J107" s="3" t="str">
        <f t="shared" si="11"/>
        <v>Not provided</v>
      </c>
    </row>
    <row r="108" spans="1:10" x14ac:dyDescent="0.35">
      <c r="A108" s="3" t="s">
        <v>107</v>
      </c>
      <c r="B108" s="5">
        <v>1658</v>
      </c>
      <c r="C108" s="5">
        <v>1699</v>
      </c>
      <c r="D108" s="5" t="str">
        <f t="shared" si="9"/>
        <v>Value</v>
      </c>
      <c r="E108" s="5">
        <f>'Cleaned data'!$C110-'Cleaned data'!$B110</f>
        <v>497</v>
      </c>
      <c r="F108" s="19">
        <v>0.02</v>
      </c>
      <c r="G108" s="7" t="str">
        <f t="shared" si="10"/>
        <v>Low discount</v>
      </c>
      <c r="J108" s="3" t="str">
        <f t="shared" si="11"/>
        <v>Not provided</v>
      </c>
    </row>
    <row r="109" spans="1:10" x14ac:dyDescent="0.35">
      <c r="A109" s="3" t="s">
        <v>57</v>
      </c>
      <c r="B109" s="5">
        <v>499</v>
      </c>
      <c r="C109" s="5">
        <v>900</v>
      </c>
      <c r="D109" s="5" t="str">
        <f t="shared" si="9"/>
        <v>Budget friendly</v>
      </c>
      <c r="E109" s="5">
        <f>'Cleaned data'!$C76-'Cleaned data'!$B76</f>
        <v>1946</v>
      </c>
      <c r="F109" s="19">
        <v>0.45</v>
      </c>
      <c r="G109" s="7" t="str">
        <f t="shared" si="10"/>
        <v>High discount</v>
      </c>
      <c r="J109" s="3" t="str">
        <f t="shared" si="11"/>
        <v>Not provided</v>
      </c>
    </row>
    <row r="110" spans="1:10" x14ac:dyDescent="0.35">
      <c r="A110" s="3" t="s">
        <v>57</v>
      </c>
      <c r="B110" s="5">
        <v>399</v>
      </c>
      <c r="C110" s="5">
        <v>896</v>
      </c>
      <c r="D110" s="5" t="str">
        <f t="shared" si="9"/>
        <v>Budget friendly</v>
      </c>
      <c r="E110" s="5">
        <f>'Cleaned data'!$C80-'Cleaned data'!$B80</f>
        <v>-0.37666666666666676</v>
      </c>
      <c r="F110" s="19">
        <v>0.55000000000000004</v>
      </c>
      <c r="G110" s="7" t="str">
        <f t="shared" si="10"/>
        <v>High discount</v>
      </c>
      <c r="J110" s="3" t="str">
        <f t="shared" si="11"/>
        <v>Not provided</v>
      </c>
    </row>
    <row r="111" spans="1:10" ht="15.5" x14ac:dyDescent="0.35">
      <c r="A111" s="12" t="s">
        <v>119</v>
      </c>
      <c r="B111"/>
      <c r="C111"/>
      <c r="H111"/>
      <c r="I111"/>
    </row>
    <row r="112" spans="1:10" x14ac:dyDescent="0.35">
      <c r="A112" s="3" t="s">
        <v>108</v>
      </c>
      <c r="B112" s="5">
        <v>1768</v>
      </c>
      <c r="C112" s="5">
        <v>1799</v>
      </c>
      <c r="D112" s="5" t="str">
        <f>IF(B112&lt;1300,"Budget friendly",IF(B112&gt;2500,"Premium","Value"))</f>
        <v>Value</v>
      </c>
      <c r="E112" s="5">
        <f>'Cleaned data'!$C111-'Cleaned data'!$B111</f>
        <v>0</v>
      </c>
      <c r="F112" s="19">
        <v>0.02</v>
      </c>
      <c r="G112" s="7" t="str">
        <f>IF(F112&lt;0.2,"Low discount",IF(F112&gt;0.4,"High discount","Medium discount"))</f>
        <v>Low discount</v>
      </c>
      <c r="J112" s="3" t="str">
        <f>IF(ISBLANK(I112),"Not provided",IF(I112&lt;3,"Poor",IF(I112&gt;4.5,"Excellent","Average")))</f>
        <v>Not provided</v>
      </c>
    </row>
    <row r="113" spans="1:10" x14ac:dyDescent="0.35">
      <c r="A113" s="3" t="s">
        <v>124</v>
      </c>
      <c r="B113" s="3" t="s">
        <v>125</v>
      </c>
    </row>
    <row r="114" spans="1:10" x14ac:dyDescent="0.35">
      <c r="A114" s="3" t="s">
        <v>126</v>
      </c>
      <c r="B114" s="15">
        <f>COUNT(H1:H105)</f>
        <v>52</v>
      </c>
    </row>
    <row r="115" spans="1:10" x14ac:dyDescent="0.35">
      <c r="A115" s="3" t="s">
        <v>66</v>
      </c>
      <c r="B115" s="5">
        <v>1220</v>
      </c>
      <c r="C115" s="5">
        <v>1555</v>
      </c>
      <c r="D115" s="5" t="str">
        <f t="shared" ref="D115:D122" si="12">IF(B115&lt;1300,"Budget friendly",IF(B115&gt;2500,"Premium","Value"))</f>
        <v>Budget friendly</v>
      </c>
      <c r="E115" s="5">
        <f>'Cleaned data'!$C13-'Cleaned data'!$B13</f>
        <v>291</v>
      </c>
      <c r="F115" s="19">
        <v>0.22</v>
      </c>
      <c r="G115" s="7" t="str">
        <f t="shared" ref="G115:G122" si="13">IF(F115&lt;0.2,"Low discount",IF(F115&gt;0.4,"High discount","Medium discount"))</f>
        <v>Medium discount</v>
      </c>
      <c r="H115" s="9">
        <v>16</v>
      </c>
      <c r="I115" s="11">
        <v>2.9</v>
      </c>
      <c r="J115" s="3" t="str">
        <f t="shared" ref="J115:J122" si="14">IF(ISBLANK(I115),"Not provided",IF(I115&lt;3,"Poor",IF(I115&gt;4.5,"Excellent","Average")))</f>
        <v>Poor</v>
      </c>
    </row>
    <row r="116" spans="1:10" x14ac:dyDescent="0.35">
      <c r="A116" s="3" t="s">
        <v>90</v>
      </c>
      <c r="B116" s="5">
        <v>850</v>
      </c>
      <c r="C116" s="5">
        <v>1700</v>
      </c>
      <c r="D116" s="5" t="str">
        <f t="shared" si="12"/>
        <v>Budget friendly</v>
      </c>
      <c r="E116" s="5">
        <f>'Cleaned data'!$C94-'Cleaned data'!$B94</f>
        <v>528</v>
      </c>
      <c r="F116" s="19">
        <v>0.5</v>
      </c>
      <c r="G116" s="7" t="str">
        <f t="shared" si="13"/>
        <v>High discount</v>
      </c>
      <c r="J116" s="3" t="str">
        <f t="shared" si="14"/>
        <v>Not provided</v>
      </c>
    </row>
    <row r="117" spans="1:10" x14ac:dyDescent="0.35">
      <c r="A117" s="3" t="s">
        <v>95</v>
      </c>
      <c r="B117" s="5">
        <v>1526</v>
      </c>
      <c r="C117" s="5">
        <v>1660</v>
      </c>
      <c r="D117" s="5" t="str">
        <f t="shared" si="12"/>
        <v>Value</v>
      </c>
      <c r="E117" s="5">
        <f>'Cleaned data'!$C99-'Cleaned data'!$B99</f>
        <v>85</v>
      </c>
      <c r="F117" s="19">
        <v>0.08</v>
      </c>
      <c r="G117" s="7" t="str">
        <f t="shared" si="13"/>
        <v>Low discount</v>
      </c>
      <c r="J117" s="3" t="str">
        <f t="shared" si="14"/>
        <v>Not provided</v>
      </c>
    </row>
    <row r="118" spans="1:10" x14ac:dyDescent="0.35">
      <c r="A118" s="3" t="s">
        <v>110</v>
      </c>
      <c r="B118" s="5">
        <v>450</v>
      </c>
      <c r="C118" s="5">
        <v>900</v>
      </c>
      <c r="D118" s="5" t="str">
        <f t="shared" si="12"/>
        <v>Budget friendly</v>
      </c>
      <c r="E118" s="5">
        <f>'Cleaned data'!$C58-'Cleaned data'!$B58</f>
        <v>644</v>
      </c>
      <c r="F118" s="19">
        <v>0.5</v>
      </c>
      <c r="G118" s="7" t="str">
        <f t="shared" si="13"/>
        <v>High discount</v>
      </c>
      <c r="H118" s="9">
        <v>1</v>
      </c>
      <c r="I118" s="11">
        <v>2</v>
      </c>
      <c r="J118" s="3" t="str">
        <f t="shared" si="14"/>
        <v>Poor</v>
      </c>
    </row>
    <row r="119" spans="1:10" x14ac:dyDescent="0.35">
      <c r="A119" s="3" t="s">
        <v>88</v>
      </c>
      <c r="B119" s="5">
        <v>1468</v>
      </c>
      <c r="C119" s="5">
        <v>1699</v>
      </c>
      <c r="D119" s="5" t="str">
        <f t="shared" si="12"/>
        <v>Value</v>
      </c>
      <c r="E119" s="5">
        <f>'Cleaned data'!$C92-'Cleaned data'!$B92</f>
        <v>1880</v>
      </c>
      <c r="F119" s="19">
        <v>0.14000000000000001</v>
      </c>
      <c r="G119" s="7" t="str">
        <f t="shared" si="13"/>
        <v>Low discount</v>
      </c>
      <c r="J119" s="3" t="str">
        <f t="shared" si="14"/>
        <v>Not provided</v>
      </c>
    </row>
    <row r="120" spans="1:10" x14ac:dyDescent="0.35">
      <c r="A120" s="3" t="s">
        <v>72</v>
      </c>
      <c r="B120" s="5">
        <v>345</v>
      </c>
      <c r="C120" s="5">
        <v>602</v>
      </c>
      <c r="D120" s="5" t="str">
        <f t="shared" si="12"/>
        <v>Budget friendly</v>
      </c>
      <c r="E120" s="5">
        <f>'Cleaned data'!$C37-'Cleaned data'!$B37</f>
        <v>846</v>
      </c>
      <c r="F120" s="19">
        <v>0.43</v>
      </c>
      <c r="G120" s="7" t="str">
        <f t="shared" si="13"/>
        <v>High discount</v>
      </c>
      <c r="H120" s="9">
        <v>6</v>
      </c>
      <c r="I120" s="11">
        <v>2.2999999999999998</v>
      </c>
      <c r="J120" s="3" t="str">
        <f t="shared" si="14"/>
        <v>Poor</v>
      </c>
    </row>
    <row r="121" spans="1:10" x14ac:dyDescent="0.35">
      <c r="A121" s="3" t="s">
        <v>6</v>
      </c>
      <c r="B121" s="5">
        <v>1580</v>
      </c>
      <c r="C121" s="5">
        <v>2499</v>
      </c>
      <c r="D121" s="5" t="str">
        <f t="shared" si="12"/>
        <v>Value</v>
      </c>
      <c r="E121" s="5">
        <f>'Cleaned data'!$C29-'Cleaned data'!$B29</f>
        <v>719</v>
      </c>
      <c r="F121" s="19">
        <v>0.37</v>
      </c>
      <c r="G121" s="7" t="str">
        <f t="shared" si="13"/>
        <v>Medium discount</v>
      </c>
      <c r="H121" s="9">
        <v>7</v>
      </c>
      <c r="I121" s="11">
        <v>4.7</v>
      </c>
      <c r="J121" s="3" t="str">
        <f t="shared" si="14"/>
        <v>Excellent</v>
      </c>
    </row>
    <row r="122" spans="1:10" x14ac:dyDescent="0.35">
      <c r="A122" s="3" t="s">
        <v>73</v>
      </c>
      <c r="B122" s="5">
        <v>509</v>
      </c>
      <c r="C122" s="5">
        <v>899</v>
      </c>
      <c r="D122" s="5" t="str">
        <f t="shared" si="12"/>
        <v>Budget friendly</v>
      </c>
      <c r="E122" s="5">
        <f>'Cleaned data'!$C45-'Cleaned data'!$B45</f>
        <v>-1284.05</v>
      </c>
      <c r="F122" s="19">
        <v>0.43</v>
      </c>
      <c r="G122" s="7" t="str">
        <f t="shared" si="13"/>
        <v>High discount</v>
      </c>
      <c r="H122" s="9">
        <v>5</v>
      </c>
      <c r="I122" s="11">
        <v>3</v>
      </c>
      <c r="J122" s="3" t="str">
        <f t="shared" si="14"/>
        <v>Average</v>
      </c>
    </row>
    <row r="123" spans="1:10" x14ac:dyDescent="0.35">
      <c r="A123"/>
      <c r="B123"/>
      <c r="C123"/>
      <c r="H123"/>
      <c r="I123"/>
    </row>
    <row r="124" spans="1:10" x14ac:dyDescent="0.35">
      <c r="A124"/>
      <c r="B124"/>
      <c r="C124"/>
      <c r="H124"/>
      <c r="I124"/>
    </row>
  </sheetData>
  <autoFilter ref="A1:J124" xr:uid="{F01CB1CA-355C-44B5-A632-1852F64FE004}">
    <sortState xmlns:xlrd2="http://schemas.microsoft.com/office/spreadsheetml/2017/richdata2" ref="A2:J124">
      <sortCondition ref="A1:A124"/>
    </sortState>
  </autoFilter>
  <phoneticPr fontId="20" type="noConversion"/>
  <conditionalFormatting sqref="B1:B1048576">
    <cfRule type="cellIs" dxfId="7" priority="1" operator="equal">
      <formula>38</formula>
    </cfRule>
    <cfRule type="cellIs" dxfId="6" priority="2" operator="equal">
      <formula>3750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1BBB6-50AC-4E22-9CB2-AB4FA92DB582}">
  <dimension ref="S9:Z45"/>
  <sheetViews>
    <sheetView zoomScale="59" zoomScaleNormal="59" workbookViewId="0">
      <selection activeCell="P42" sqref="P42"/>
    </sheetView>
  </sheetViews>
  <sheetFormatPr defaultRowHeight="14.5" x14ac:dyDescent="0.35"/>
  <cols>
    <col min="1" max="1" width="46.453125" style="22" customWidth="1"/>
    <col min="2" max="2" width="14.453125" style="22" customWidth="1"/>
    <col min="3" max="22" width="8.7265625" style="22"/>
    <col min="23" max="23" width="48.90625" style="22" customWidth="1"/>
    <col min="24" max="24" width="22.81640625" style="22" customWidth="1"/>
    <col min="25" max="16384" width="8.7265625" style="22"/>
  </cols>
  <sheetData>
    <row r="9" spans="23:26" x14ac:dyDescent="0.35">
      <c r="W9" s="16" t="s">
        <v>360</v>
      </c>
      <c r="X9" s="17" t="s">
        <v>141</v>
      </c>
      <c r="Y9" s="24"/>
      <c r="Z9" s="24"/>
    </row>
    <row r="10" spans="23:26" x14ac:dyDescent="0.35">
      <c r="W10" s="17" t="s">
        <v>15</v>
      </c>
      <c r="X10">
        <v>4.8</v>
      </c>
    </row>
    <row r="11" spans="23:26" x14ac:dyDescent="0.35">
      <c r="W11" s="17" t="s">
        <v>18</v>
      </c>
      <c r="X11">
        <v>5</v>
      </c>
    </row>
    <row r="12" spans="23:26" x14ac:dyDescent="0.35">
      <c r="W12" s="17" t="s">
        <v>81</v>
      </c>
      <c r="X12">
        <v>5</v>
      </c>
    </row>
    <row r="13" spans="23:26" x14ac:dyDescent="0.35">
      <c r="W13" s="17" t="s">
        <v>39</v>
      </c>
      <c r="X13">
        <v>5</v>
      </c>
    </row>
    <row r="14" spans="23:26" x14ac:dyDescent="0.35">
      <c r="W14" s="17" t="s">
        <v>38</v>
      </c>
      <c r="X14">
        <v>5</v>
      </c>
    </row>
    <row r="15" spans="23:26" x14ac:dyDescent="0.35">
      <c r="W15" s="17" t="s">
        <v>101</v>
      </c>
      <c r="X15">
        <v>5</v>
      </c>
    </row>
    <row r="16" spans="23:26" x14ac:dyDescent="0.35">
      <c r="W16" s="17" t="s">
        <v>20</v>
      </c>
      <c r="X16">
        <v>5</v>
      </c>
    </row>
    <row r="17" spans="23:24" x14ac:dyDescent="0.35">
      <c r="W17" s="17" t="s">
        <v>11</v>
      </c>
      <c r="X17">
        <v>4.8</v>
      </c>
    </row>
    <row r="18" spans="23:24" x14ac:dyDescent="0.35">
      <c r="W18" s="17" t="s">
        <v>19</v>
      </c>
      <c r="X18">
        <v>5</v>
      </c>
    </row>
    <row r="19" spans="23:24" x14ac:dyDescent="0.35">
      <c r="W19" s="17" t="s">
        <v>7</v>
      </c>
      <c r="X19">
        <v>4.8</v>
      </c>
    </row>
    <row r="20" spans="23:24" x14ac:dyDescent="0.35">
      <c r="W20" s="17" t="s">
        <v>130</v>
      </c>
      <c r="X20">
        <v>4.9399999999999995</v>
      </c>
    </row>
    <row r="22" spans="23:24" x14ac:dyDescent="0.35">
      <c r="W22" s="16" t="s">
        <v>362</v>
      </c>
      <c r="X22" t="s">
        <v>363</v>
      </c>
    </row>
    <row r="23" spans="23:24" x14ac:dyDescent="0.35">
      <c r="W23" s="17" t="s">
        <v>14</v>
      </c>
      <c r="X23">
        <v>39</v>
      </c>
    </row>
    <row r="24" spans="23:24" x14ac:dyDescent="0.35">
      <c r="W24" s="17" t="s">
        <v>64</v>
      </c>
      <c r="X24">
        <v>69</v>
      </c>
    </row>
    <row r="25" spans="23:24" x14ac:dyDescent="0.35">
      <c r="W25" s="17" t="s">
        <v>9</v>
      </c>
      <c r="X25">
        <v>55</v>
      </c>
    </row>
    <row r="26" spans="23:24" x14ac:dyDescent="0.35">
      <c r="W26" s="17" t="s">
        <v>22</v>
      </c>
      <c r="X26">
        <v>44</v>
      </c>
    </row>
    <row r="27" spans="23:24" x14ac:dyDescent="0.35">
      <c r="W27" s="17" t="s">
        <v>31</v>
      </c>
      <c r="X27">
        <v>20</v>
      </c>
    </row>
    <row r="28" spans="23:24" x14ac:dyDescent="0.35">
      <c r="W28" s="17" t="s">
        <v>37</v>
      </c>
      <c r="X28">
        <v>32</v>
      </c>
    </row>
    <row r="29" spans="23:24" x14ac:dyDescent="0.35">
      <c r="W29" s="17" t="s">
        <v>36</v>
      </c>
      <c r="X29">
        <v>20</v>
      </c>
    </row>
    <row r="30" spans="23:24" x14ac:dyDescent="0.35">
      <c r="W30" s="17" t="s">
        <v>28</v>
      </c>
      <c r="X30">
        <v>49</v>
      </c>
    </row>
    <row r="31" spans="23:24" x14ac:dyDescent="0.35">
      <c r="W31" s="17" t="s">
        <v>5</v>
      </c>
      <c r="X31">
        <v>24</v>
      </c>
    </row>
    <row r="32" spans="23:24" x14ac:dyDescent="0.35">
      <c r="W32" s="17" t="s">
        <v>40</v>
      </c>
      <c r="X32">
        <v>36</v>
      </c>
    </row>
    <row r="33" spans="19:24" x14ac:dyDescent="0.35">
      <c r="W33" s="17" t="s">
        <v>366</v>
      </c>
      <c r="X33">
        <v>388</v>
      </c>
    </row>
    <row r="34" spans="19:24" ht="15" thickBot="1" x14ac:dyDescent="0.4"/>
    <row r="35" spans="19:24" x14ac:dyDescent="0.35">
      <c r="W35" s="25" t="s">
        <v>365</v>
      </c>
      <c r="X35" s="23" t="s">
        <v>364</v>
      </c>
    </row>
    <row r="36" spans="19:24" x14ac:dyDescent="0.35">
      <c r="W36" s="26" t="s">
        <v>23</v>
      </c>
      <c r="X36" s="27">
        <v>0.53</v>
      </c>
    </row>
    <row r="37" spans="19:24" x14ac:dyDescent="0.35">
      <c r="W37" s="26" t="s">
        <v>63</v>
      </c>
      <c r="X37" s="27">
        <v>0.55000000000000004</v>
      </c>
    </row>
    <row r="38" spans="19:24" x14ac:dyDescent="0.35">
      <c r="W38" s="26" t="s">
        <v>109</v>
      </c>
      <c r="X38" s="27">
        <v>0.64</v>
      </c>
    </row>
    <row r="39" spans="19:24" x14ac:dyDescent="0.35">
      <c r="W39" s="26" t="s">
        <v>39</v>
      </c>
      <c r="X39" s="27">
        <v>0.53</v>
      </c>
    </row>
    <row r="40" spans="19:24" x14ac:dyDescent="0.35">
      <c r="W40" s="26" t="s">
        <v>51</v>
      </c>
      <c r="X40" s="27">
        <v>0.55000000000000004</v>
      </c>
    </row>
    <row r="41" spans="19:24" x14ac:dyDescent="0.35">
      <c r="W41" s="26" t="s">
        <v>33</v>
      </c>
      <c r="X41" s="27">
        <v>0.52</v>
      </c>
    </row>
    <row r="42" spans="19:24" x14ac:dyDescent="0.35">
      <c r="W42" s="26" t="s">
        <v>65</v>
      </c>
      <c r="X42" s="27">
        <v>0.52</v>
      </c>
    </row>
    <row r="43" spans="19:24" x14ac:dyDescent="0.35">
      <c r="S43" s="22" t="s">
        <v>367</v>
      </c>
      <c r="W43" s="26" t="s">
        <v>27</v>
      </c>
      <c r="X43" s="27">
        <v>0.54</v>
      </c>
    </row>
    <row r="44" spans="19:24" x14ac:dyDescent="0.35">
      <c r="W44" s="26" t="s">
        <v>11</v>
      </c>
      <c r="X44" s="27">
        <v>0.55000000000000004</v>
      </c>
    </row>
    <row r="45" spans="19:24" x14ac:dyDescent="0.35">
      <c r="W45" s="26" t="s">
        <v>62</v>
      </c>
      <c r="X45" s="27">
        <v>0.54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9D803-DB40-4282-9F7D-97769865609A}">
  <dimension ref="A3:B8"/>
  <sheetViews>
    <sheetView workbookViewId="0">
      <selection activeCell="O13" sqref="O13"/>
    </sheetView>
  </sheetViews>
  <sheetFormatPr defaultRowHeight="14.5" x14ac:dyDescent="0.35"/>
  <cols>
    <col min="1" max="1" width="15.453125" bestFit="1" customWidth="1"/>
    <col min="2" max="2" width="14.54296875" bestFit="1" customWidth="1"/>
  </cols>
  <sheetData>
    <row r="3" spans="1:2" x14ac:dyDescent="0.35">
      <c r="A3" s="16" t="s">
        <v>129</v>
      </c>
      <c r="B3" t="s">
        <v>131</v>
      </c>
    </row>
    <row r="4" spans="1:2" x14ac:dyDescent="0.35">
      <c r="A4" s="17" t="s">
        <v>132</v>
      </c>
      <c r="B4">
        <v>30</v>
      </c>
    </row>
    <row r="5" spans="1:2" x14ac:dyDescent="0.35">
      <c r="A5" s="17" t="s">
        <v>133</v>
      </c>
      <c r="B5">
        <v>4</v>
      </c>
    </row>
    <row r="6" spans="1:2" x14ac:dyDescent="0.35">
      <c r="A6" s="17" t="s">
        <v>134</v>
      </c>
      <c r="B6">
        <v>23</v>
      </c>
    </row>
    <row r="7" spans="1:2" x14ac:dyDescent="0.35">
      <c r="A7" s="17" t="s">
        <v>359</v>
      </c>
    </row>
    <row r="8" spans="1:2" x14ac:dyDescent="0.35">
      <c r="A8" s="17" t="s">
        <v>130</v>
      </c>
      <c r="B8">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44E99-2B69-45EA-BF7A-C1B0E7142FCD}">
  <dimension ref="A3:B7"/>
  <sheetViews>
    <sheetView workbookViewId="0">
      <selection activeCell="B6" sqref="B6"/>
    </sheetView>
  </sheetViews>
  <sheetFormatPr defaultRowHeight="14.5" x14ac:dyDescent="0.35"/>
  <cols>
    <col min="1" max="1" width="12.36328125" bestFit="1" customWidth="1"/>
    <col min="2" max="2" width="14.54296875" bestFit="1" customWidth="1"/>
  </cols>
  <sheetData>
    <row r="3" spans="1:2" x14ac:dyDescent="0.35">
      <c r="A3" s="16" t="s">
        <v>129</v>
      </c>
      <c r="B3" t="s">
        <v>131</v>
      </c>
    </row>
    <row r="4" spans="1:2" x14ac:dyDescent="0.35">
      <c r="A4" s="17" t="s">
        <v>135</v>
      </c>
      <c r="B4">
        <v>26</v>
      </c>
    </row>
    <row r="5" spans="1:2" x14ac:dyDescent="0.35">
      <c r="A5" s="17" t="s">
        <v>136</v>
      </c>
      <c r="B5">
        <v>19</v>
      </c>
    </row>
    <row r="6" spans="1:2" x14ac:dyDescent="0.35">
      <c r="A6" s="17" t="s">
        <v>137</v>
      </c>
      <c r="B6">
        <v>12</v>
      </c>
    </row>
    <row r="7" spans="1:2" x14ac:dyDescent="0.35">
      <c r="A7" s="17" t="s">
        <v>130</v>
      </c>
      <c r="B7">
        <v>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E4CF-2AC3-44D2-99E8-E330E05BB036}">
  <dimension ref="A3:B8"/>
  <sheetViews>
    <sheetView workbookViewId="0">
      <selection activeCell="B5" sqref="B5"/>
    </sheetView>
  </sheetViews>
  <sheetFormatPr defaultRowHeight="14.5" x14ac:dyDescent="0.35"/>
  <cols>
    <col min="1" max="1" width="13.54296875" bestFit="1" customWidth="1"/>
    <col min="2" max="2" width="24" bestFit="1" customWidth="1"/>
  </cols>
  <sheetData>
    <row r="3" spans="1:2" x14ac:dyDescent="0.35">
      <c r="A3" s="16" t="s">
        <v>129</v>
      </c>
      <c r="B3" t="s">
        <v>141</v>
      </c>
    </row>
    <row r="4" spans="1:2" x14ac:dyDescent="0.35">
      <c r="A4" s="17" t="s">
        <v>138</v>
      </c>
      <c r="B4">
        <v>3.7593749999999999</v>
      </c>
    </row>
    <row r="5" spans="1:2" x14ac:dyDescent="0.35">
      <c r="A5" s="17" t="s">
        <v>139</v>
      </c>
      <c r="B5">
        <v>4.08</v>
      </c>
    </row>
    <row r="6" spans="1:2" x14ac:dyDescent="0.35">
      <c r="A6" s="17" t="s">
        <v>140</v>
      </c>
      <c r="B6">
        <v>4.0499999999999989</v>
      </c>
    </row>
    <row r="7" spans="1:2" x14ac:dyDescent="0.35">
      <c r="A7" s="17" t="s">
        <v>359</v>
      </c>
    </row>
    <row r="8" spans="1:2" x14ac:dyDescent="0.35">
      <c r="A8" s="17" t="s">
        <v>130</v>
      </c>
      <c r="B8">
        <v>3.8894736842105266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BFB4-B5FA-4C84-A9E6-096ACE3D9C4C}">
  <dimension ref="A1:B30"/>
  <sheetViews>
    <sheetView workbookViewId="0">
      <selection activeCell="A17" sqref="A17"/>
    </sheetView>
  </sheetViews>
  <sheetFormatPr defaultRowHeight="14.5" x14ac:dyDescent="0.35"/>
  <cols>
    <col min="1" max="1" width="61.453125" bestFit="1" customWidth="1"/>
    <col min="2" max="2" width="19.81640625" customWidth="1"/>
  </cols>
  <sheetData>
    <row r="1" spans="1:2" x14ac:dyDescent="0.35">
      <c r="A1" s="31" t="s">
        <v>369</v>
      </c>
    </row>
    <row r="3" spans="1:2" x14ac:dyDescent="0.35">
      <c r="A3" s="16" t="s">
        <v>129</v>
      </c>
      <c r="B3" t="s">
        <v>144</v>
      </c>
    </row>
    <row r="4" spans="1:2" x14ac:dyDescent="0.35">
      <c r="A4" s="17" t="s">
        <v>14</v>
      </c>
      <c r="B4">
        <v>39</v>
      </c>
    </row>
    <row r="5" spans="1:2" x14ac:dyDescent="0.35">
      <c r="A5" s="17" t="s">
        <v>64</v>
      </c>
      <c r="B5">
        <v>69</v>
      </c>
    </row>
    <row r="6" spans="1:2" x14ac:dyDescent="0.35">
      <c r="A6" s="17" t="s">
        <v>9</v>
      </c>
      <c r="B6">
        <v>55</v>
      </c>
    </row>
    <row r="7" spans="1:2" x14ac:dyDescent="0.35">
      <c r="A7" s="17" t="s">
        <v>22</v>
      </c>
      <c r="B7">
        <v>44</v>
      </c>
    </row>
    <row r="8" spans="1:2" x14ac:dyDescent="0.35">
      <c r="A8" s="17" t="s">
        <v>31</v>
      </c>
      <c r="B8">
        <v>20</v>
      </c>
    </row>
    <row r="9" spans="1:2" x14ac:dyDescent="0.35">
      <c r="A9" s="17" t="s">
        <v>37</v>
      </c>
      <c r="B9">
        <v>32</v>
      </c>
    </row>
    <row r="10" spans="1:2" x14ac:dyDescent="0.35">
      <c r="A10" s="17" t="s">
        <v>36</v>
      </c>
      <c r="B10">
        <v>20</v>
      </c>
    </row>
    <row r="11" spans="1:2" x14ac:dyDescent="0.35">
      <c r="A11" s="17" t="s">
        <v>28</v>
      </c>
      <c r="B11">
        <v>49</v>
      </c>
    </row>
    <row r="12" spans="1:2" x14ac:dyDescent="0.35">
      <c r="A12" s="17" t="s">
        <v>5</v>
      </c>
      <c r="B12">
        <v>24</v>
      </c>
    </row>
    <row r="13" spans="1:2" x14ac:dyDescent="0.35">
      <c r="A13" s="17" t="s">
        <v>40</v>
      </c>
      <c r="B13">
        <v>36</v>
      </c>
    </row>
    <row r="14" spans="1:2" x14ac:dyDescent="0.35">
      <c r="A14" s="17" t="s">
        <v>130</v>
      </c>
      <c r="B14">
        <v>388</v>
      </c>
    </row>
    <row r="17" spans="1:2" x14ac:dyDescent="0.35">
      <c r="A17" s="31" t="s">
        <v>370</v>
      </c>
    </row>
    <row r="19" spans="1:2" x14ac:dyDescent="0.35">
      <c r="A19" s="16" t="s">
        <v>129</v>
      </c>
      <c r="B19" t="s">
        <v>361</v>
      </c>
    </row>
    <row r="20" spans="1:2" x14ac:dyDescent="0.35">
      <c r="A20" s="17" t="s">
        <v>23</v>
      </c>
      <c r="B20">
        <v>0.53</v>
      </c>
    </row>
    <row r="21" spans="1:2" x14ac:dyDescent="0.35">
      <c r="A21" s="17" t="s">
        <v>63</v>
      </c>
      <c r="B21">
        <v>0.55000000000000004</v>
      </c>
    </row>
    <row r="22" spans="1:2" x14ac:dyDescent="0.35">
      <c r="A22" s="17" t="s">
        <v>109</v>
      </c>
      <c r="B22">
        <v>0.64</v>
      </c>
    </row>
    <row r="23" spans="1:2" x14ac:dyDescent="0.35">
      <c r="A23" s="17" t="s">
        <v>39</v>
      </c>
      <c r="B23">
        <v>0.53</v>
      </c>
    </row>
    <row r="24" spans="1:2" x14ac:dyDescent="0.35">
      <c r="A24" s="17" t="s">
        <v>51</v>
      </c>
      <c r="B24">
        <v>0.55000000000000004</v>
      </c>
    </row>
    <row r="25" spans="1:2" x14ac:dyDescent="0.35">
      <c r="A25" s="17" t="s">
        <v>33</v>
      </c>
      <c r="B25">
        <v>0.52</v>
      </c>
    </row>
    <row r="26" spans="1:2" x14ac:dyDescent="0.35">
      <c r="A26" s="17" t="s">
        <v>65</v>
      </c>
      <c r="B26">
        <v>0.52</v>
      </c>
    </row>
    <row r="27" spans="1:2" x14ac:dyDescent="0.35">
      <c r="A27" s="17" t="s">
        <v>27</v>
      </c>
      <c r="B27">
        <v>0.54</v>
      </c>
    </row>
    <row r="28" spans="1:2" x14ac:dyDescent="0.35">
      <c r="A28" s="17" t="s">
        <v>11</v>
      </c>
      <c r="B28">
        <v>0.55000000000000004</v>
      </c>
    </row>
    <row r="29" spans="1:2" x14ac:dyDescent="0.35">
      <c r="A29" s="17" t="s">
        <v>62</v>
      </c>
      <c r="B29">
        <v>0.54</v>
      </c>
    </row>
    <row r="30" spans="1:2" x14ac:dyDescent="0.35">
      <c r="A30" s="17" t="s">
        <v>130</v>
      </c>
      <c r="B30">
        <v>0.54727272727272724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08091-561A-46C3-8948-2B01326D2935}">
  <dimension ref="A1:B31"/>
  <sheetViews>
    <sheetView topLeftCell="A7" workbookViewId="0">
      <selection activeCell="C12" sqref="C12"/>
    </sheetView>
  </sheetViews>
  <sheetFormatPr defaultRowHeight="14.5" x14ac:dyDescent="0.35"/>
  <cols>
    <col min="1" max="1" width="64.453125" bestFit="1" customWidth="1"/>
    <col min="2" max="2" width="24" bestFit="1" customWidth="1"/>
    <col min="3" max="3" width="50.08984375" bestFit="1" customWidth="1"/>
    <col min="4" max="4" width="47.90625" bestFit="1" customWidth="1"/>
    <col min="5" max="5" width="29.453125" bestFit="1" customWidth="1"/>
    <col min="6" max="6" width="28.90625" bestFit="1" customWidth="1"/>
    <col min="7" max="7" width="58.26953125" bestFit="1" customWidth="1"/>
    <col min="8" max="8" width="61.08984375" bestFit="1" customWidth="1"/>
    <col min="9" max="9" width="32.36328125" bestFit="1" customWidth="1"/>
    <col min="10" max="10" width="44.81640625" bestFit="1" customWidth="1"/>
    <col min="11" max="11" width="39.6328125" bestFit="1" customWidth="1"/>
    <col min="12" max="12" width="65.36328125" bestFit="1" customWidth="1"/>
    <col min="13" max="13" width="60.6328125" bestFit="1" customWidth="1"/>
    <col min="14" max="14" width="62.453125" bestFit="1" customWidth="1"/>
    <col min="15" max="15" width="49.36328125" bestFit="1" customWidth="1"/>
    <col min="16" max="16" width="36.90625" bestFit="1" customWidth="1"/>
    <col min="17" max="17" width="57.54296875" bestFit="1" customWidth="1"/>
    <col min="18" max="18" width="66.26953125" bestFit="1" customWidth="1"/>
    <col min="19" max="19" width="52.7265625" bestFit="1" customWidth="1"/>
    <col min="20" max="20" width="46.26953125" bestFit="1" customWidth="1"/>
    <col min="21" max="21" width="38.1796875" bestFit="1" customWidth="1"/>
    <col min="22" max="22" width="46.453125" bestFit="1" customWidth="1"/>
    <col min="23" max="23" width="41.7265625" bestFit="1" customWidth="1"/>
    <col min="24" max="24" width="34.453125" bestFit="1" customWidth="1"/>
    <col min="25" max="25" width="45" bestFit="1" customWidth="1"/>
    <col min="26" max="26" width="61.1796875" bestFit="1" customWidth="1"/>
    <col min="27" max="27" width="45.36328125" bestFit="1" customWidth="1"/>
    <col min="28" max="28" width="50.26953125" bestFit="1" customWidth="1"/>
    <col min="29" max="29" width="52.6328125" bestFit="1" customWidth="1"/>
    <col min="30" max="30" width="53.36328125" bestFit="1" customWidth="1"/>
    <col min="31" max="31" width="90.1796875" bestFit="1" customWidth="1"/>
    <col min="32" max="32" width="49.54296875" bestFit="1" customWidth="1"/>
    <col min="33" max="33" width="46.36328125" bestFit="1" customWidth="1"/>
    <col min="34" max="34" width="54.36328125" bestFit="1" customWidth="1"/>
    <col min="35" max="35" width="56.1796875" bestFit="1" customWidth="1"/>
    <col min="36" max="36" width="60.7265625" bestFit="1" customWidth="1"/>
    <col min="37" max="37" width="50.90625" bestFit="1" customWidth="1"/>
    <col min="38" max="38" width="27.54296875" bestFit="1" customWidth="1"/>
    <col min="39" max="39" width="59.08984375" bestFit="1" customWidth="1"/>
    <col min="40" max="40" width="48" bestFit="1" customWidth="1"/>
    <col min="41" max="41" width="51.81640625" bestFit="1" customWidth="1"/>
    <col min="42" max="42" width="48.6328125" bestFit="1" customWidth="1"/>
    <col min="43" max="43" width="51.81640625" bestFit="1" customWidth="1"/>
    <col min="44" max="44" width="18.90625" bestFit="1" customWidth="1"/>
    <col min="45" max="45" width="53.08984375" bestFit="1" customWidth="1"/>
    <col min="46" max="46" width="46.26953125" bestFit="1" customWidth="1"/>
    <col min="47" max="47" width="62.54296875" bestFit="1" customWidth="1"/>
    <col min="48" max="48" width="49.81640625" bestFit="1" customWidth="1"/>
    <col min="49" max="49" width="33.453125" bestFit="1" customWidth="1"/>
    <col min="50" max="50" width="22.7265625" bestFit="1" customWidth="1"/>
    <col min="51" max="51" width="53.08984375" bestFit="1" customWidth="1"/>
    <col min="52" max="52" width="59.453125" bestFit="1" customWidth="1"/>
    <col min="53" max="53" width="53" bestFit="1" customWidth="1"/>
    <col min="54" max="54" width="55.6328125" bestFit="1" customWidth="1"/>
    <col min="55" max="55" width="48.6328125" bestFit="1" customWidth="1"/>
    <col min="56" max="56" width="30.1796875" bestFit="1" customWidth="1"/>
    <col min="57" max="57" width="65" bestFit="1" customWidth="1"/>
    <col min="58" max="58" width="52.26953125" bestFit="1" customWidth="1"/>
    <col min="59" max="59" width="50.08984375" bestFit="1" customWidth="1"/>
    <col min="60" max="60" width="65.1796875" bestFit="1" customWidth="1"/>
    <col min="61" max="61" width="67.81640625" bestFit="1" customWidth="1"/>
    <col min="62" max="62" width="34.6328125" bestFit="1" customWidth="1"/>
    <col min="63" max="63" width="35.7265625" bestFit="1" customWidth="1"/>
    <col min="64" max="64" width="25.81640625" bestFit="1" customWidth="1"/>
    <col min="65" max="65" width="69.36328125" bestFit="1" customWidth="1"/>
    <col min="66" max="66" width="30.453125" bestFit="1" customWidth="1"/>
    <col min="67" max="67" width="52.453125" bestFit="1" customWidth="1"/>
    <col min="68" max="68" width="63.54296875" bestFit="1" customWidth="1"/>
    <col min="69" max="69" width="46.81640625" bestFit="1" customWidth="1"/>
    <col min="70" max="70" width="39.54296875" bestFit="1" customWidth="1"/>
    <col min="71" max="71" width="44.7265625" bestFit="1" customWidth="1"/>
    <col min="72" max="72" width="37.81640625" bestFit="1" customWidth="1"/>
    <col min="73" max="73" width="32.6328125" bestFit="1" customWidth="1"/>
    <col min="74" max="74" width="54.90625" bestFit="1" customWidth="1"/>
    <col min="75" max="75" width="66.6328125" bestFit="1" customWidth="1"/>
    <col min="76" max="76" width="69.90625" bestFit="1" customWidth="1"/>
    <col min="77" max="77" width="30.1796875" bestFit="1" customWidth="1"/>
    <col min="78" max="78" width="56.08984375" bestFit="1" customWidth="1"/>
    <col min="79" max="79" width="53.08984375" bestFit="1" customWidth="1"/>
    <col min="80" max="80" width="68.81640625" bestFit="1" customWidth="1"/>
    <col min="81" max="81" width="67.6328125" bestFit="1" customWidth="1"/>
    <col min="82" max="82" width="45.90625" bestFit="1" customWidth="1"/>
    <col min="83" max="83" width="43.26953125" bestFit="1" customWidth="1"/>
    <col min="84" max="84" width="50.90625" bestFit="1" customWidth="1"/>
    <col min="85" max="85" width="44.26953125" bestFit="1" customWidth="1"/>
    <col min="86" max="86" width="65.26953125" bestFit="1" customWidth="1"/>
    <col min="87" max="87" width="70.1796875" bestFit="1" customWidth="1"/>
    <col min="88" max="88" width="67.36328125" bestFit="1" customWidth="1"/>
    <col min="89" max="89" width="57.08984375" bestFit="1" customWidth="1"/>
    <col min="90" max="90" width="43.54296875" bestFit="1" customWidth="1"/>
    <col min="91" max="91" width="51.90625" bestFit="1" customWidth="1"/>
    <col min="92" max="92" width="50.7265625" bestFit="1" customWidth="1"/>
    <col min="93" max="93" width="48.54296875" bestFit="1" customWidth="1"/>
    <col min="94" max="94" width="43" bestFit="1" customWidth="1"/>
    <col min="95" max="95" width="58.08984375" bestFit="1" customWidth="1"/>
    <col min="96" max="96" width="64.08984375" bestFit="1" customWidth="1"/>
    <col min="97" max="97" width="40.36328125" bestFit="1" customWidth="1"/>
    <col min="98" max="98" width="62.08984375" bestFit="1" customWidth="1"/>
    <col min="99" max="99" width="67.81640625" bestFit="1" customWidth="1"/>
    <col min="100" max="100" width="52.81640625" bestFit="1" customWidth="1"/>
    <col min="101" max="101" width="70.26953125" bestFit="1" customWidth="1"/>
    <col min="102" max="102" width="51.54296875" bestFit="1" customWidth="1"/>
    <col min="103" max="103" width="11.26953125" bestFit="1" customWidth="1"/>
    <col min="104" max="104" width="64.81640625" bestFit="1" customWidth="1"/>
    <col min="105" max="105" width="73.453125" bestFit="1" customWidth="1"/>
    <col min="106" max="106" width="28.36328125" bestFit="1" customWidth="1"/>
    <col min="107" max="107" width="74.7265625" bestFit="1" customWidth="1"/>
    <col min="108" max="108" width="37.7265625" bestFit="1" customWidth="1"/>
    <col min="109" max="109" width="56.90625" bestFit="1" customWidth="1"/>
    <col min="110" max="110" width="43.08984375" bestFit="1" customWidth="1"/>
    <col min="111" max="111" width="49.81640625" bestFit="1" customWidth="1"/>
    <col min="112" max="112" width="58.453125" bestFit="1" customWidth="1"/>
    <col min="113" max="113" width="6.7265625" bestFit="1" customWidth="1"/>
    <col min="114" max="114" width="10.7265625" bestFit="1" customWidth="1"/>
  </cols>
  <sheetData>
    <row r="1" spans="1:2" x14ac:dyDescent="0.35">
      <c r="A1" s="31" t="s">
        <v>371</v>
      </c>
    </row>
    <row r="3" spans="1:2" x14ac:dyDescent="0.35">
      <c r="A3" s="16" t="s">
        <v>129</v>
      </c>
      <c r="B3" t="s">
        <v>141</v>
      </c>
    </row>
    <row r="4" spans="1:2" x14ac:dyDescent="0.35">
      <c r="A4" s="17" t="s">
        <v>15</v>
      </c>
      <c r="B4">
        <v>4.8</v>
      </c>
    </row>
    <row r="5" spans="1:2" x14ac:dyDescent="0.35">
      <c r="A5" s="17" t="s">
        <v>18</v>
      </c>
      <c r="B5">
        <v>5</v>
      </c>
    </row>
    <row r="6" spans="1:2" x14ac:dyDescent="0.35">
      <c r="A6" s="17" t="s">
        <v>81</v>
      </c>
      <c r="B6">
        <v>5</v>
      </c>
    </row>
    <row r="7" spans="1:2" x14ac:dyDescent="0.35">
      <c r="A7" s="17" t="s">
        <v>39</v>
      </c>
      <c r="B7">
        <v>5</v>
      </c>
    </row>
    <row r="8" spans="1:2" x14ac:dyDescent="0.35">
      <c r="A8" s="17" t="s">
        <v>38</v>
      </c>
      <c r="B8">
        <v>5</v>
      </c>
    </row>
    <row r="9" spans="1:2" x14ac:dyDescent="0.35">
      <c r="A9" s="17" t="s">
        <v>101</v>
      </c>
      <c r="B9">
        <v>5</v>
      </c>
    </row>
    <row r="10" spans="1:2" x14ac:dyDescent="0.35">
      <c r="A10" s="17" t="s">
        <v>20</v>
      </c>
      <c r="B10">
        <v>5</v>
      </c>
    </row>
    <row r="11" spans="1:2" x14ac:dyDescent="0.35">
      <c r="A11" s="17" t="s">
        <v>11</v>
      </c>
      <c r="B11">
        <v>4.8</v>
      </c>
    </row>
    <row r="12" spans="1:2" x14ac:dyDescent="0.35">
      <c r="A12" s="17" t="s">
        <v>19</v>
      </c>
      <c r="B12">
        <v>5</v>
      </c>
    </row>
    <row r="13" spans="1:2" x14ac:dyDescent="0.35">
      <c r="A13" s="17" t="s">
        <v>7</v>
      </c>
      <c r="B13">
        <v>4.8</v>
      </c>
    </row>
    <row r="14" spans="1:2" x14ac:dyDescent="0.35">
      <c r="A14" s="17" t="s">
        <v>130</v>
      </c>
      <c r="B14">
        <v>4.9399999999999995</v>
      </c>
    </row>
    <row r="16" spans="1:2" x14ac:dyDescent="0.35">
      <c r="A16" s="31" t="s">
        <v>372</v>
      </c>
    </row>
    <row r="18" spans="1:2" x14ac:dyDescent="0.35">
      <c r="A18" s="16" t="s">
        <v>112</v>
      </c>
      <c r="B18" t="s">
        <v>142</v>
      </c>
    </row>
    <row r="20" spans="1:2" x14ac:dyDescent="0.35">
      <c r="A20" s="16" t="s">
        <v>129</v>
      </c>
      <c r="B20" t="s">
        <v>141</v>
      </c>
    </row>
    <row r="21" spans="1:2" x14ac:dyDescent="0.35">
      <c r="A21" s="17" t="s">
        <v>68</v>
      </c>
      <c r="B21">
        <v>2.2999999999999998</v>
      </c>
    </row>
    <row r="22" spans="1:2" x14ac:dyDescent="0.35">
      <c r="A22" s="17" t="s">
        <v>61</v>
      </c>
      <c r="B22">
        <v>2.5</v>
      </c>
    </row>
    <row r="23" spans="1:2" x14ac:dyDescent="0.35">
      <c r="A23" s="17" t="s">
        <v>63</v>
      </c>
      <c r="B23">
        <v>2.1</v>
      </c>
    </row>
    <row r="24" spans="1:2" x14ac:dyDescent="0.35">
      <c r="A24" s="17" t="s">
        <v>74</v>
      </c>
      <c r="B24">
        <v>2.2000000000000002</v>
      </c>
    </row>
    <row r="25" spans="1:2" x14ac:dyDescent="0.35">
      <c r="A25" s="17" t="s">
        <v>70</v>
      </c>
      <c r="B25">
        <v>2.6</v>
      </c>
    </row>
    <row r="26" spans="1:2" x14ac:dyDescent="0.35">
      <c r="A26" s="17" t="s">
        <v>67</v>
      </c>
      <c r="B26">
        <v>2.2000000000000002</v>
      </c>
    </row>
    <row r="27" spans="1:2" x14ac:dyDescent="0.35">
      <c r="A27" s="17" t="s">
        <v>75</v>
      </c>
      <c r="B27">
        <v>2.1</v>
      </c>
    </row>
    <row r="28" spans="1:2" x14ac:dyDescent="0.35">
      <c r="A28" s="17" t="s">
        <v>65</v>
      </c>
      <c r="B28">
        <v>2.7</v>
      </c>
    </row>
    <row r="29" spans="1:2" x14ac:dyDescent="0.35">
      <c r="A29" s="17" t="s">
        <v>110</v>
      </c>
      <c r="B29">
        <v>2</v>
      </c>
    </row>
    <row r="30" spans="1:2" x14ac:dyDescent="0.35">
      <c r="A30" s="17" t="s">
        <v>72</v>
      </c>
      <c r="B30">
        <v>2.2999999999999998</v>
      </c>
    </row>
    <row r="31" spans="1:2" x14ac:dyDescent="0.35">
      <c r="A31" s="17" t="s">
        <v>130</v>
      </c>
      <c r="B31">
        <v>2.3000000000000003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A688-BC3F-4BAC-88D9-0242CA6E674E}">
  <dimension ref="A2:J129"/>
  <sheetViews>
    <sheetView zoomScale="80" zoomScaleNormal="80" workbookViewId="0">
      <pane ySplit="6" topLeftCell="A7" activePane="bottomLeft" state="frozen"/>
      <selection pane="bottomLeft" activeCell="E8" sqref="E8"/>
    </sheetView>
  </sheetViews>
  <sheetFormatPr defaultRowHeight="14.5" x14ac:dyDescent="0.35"/>
  <cols>
    <col min="1" max="1" width="69" style="3" customWidth="1"/>
    <col min="2" max="2" width="16.7265625" style="5" customWidth="1"/>
    <col min="3" max="3" width="12.36328125" style="5" customWidth="1"/>
    <col min="4" max="4" width="17.453125" style="5" customWidth="1"/>
    <col min="5" max="5" width="18.7265625" style="5" customWidth="1"/>
    <col min="6" max="6" width="16.1796875" style="19" customWidth="1"/>
    <col min="7" max="7" width="19.54296875" style="7" customWidth="1"/>
    <col min="8" max="8" width="10.54296875" style="9" customWidth="1"/>
    <col min="9" max="9" width="20" style="11" customWidth="1"/>
    <col min="10" max="10" width="23.81640625" style="3" customWidth="1"/>
  </cols>
  <sheetData>
    <row r="2" spans="1:10" ht="21" x14ac:dyDescent="0.5">
      <c r="A2" s="20" t="s">
        <v>143</v>
      </c>
    </row>
    <row r="3" spans="1:10" s="29" customFormat="1" ht="18.5" x14ac:dyDescent="0.45">
      <c r="A3" s="29" t="s">
        <v>358</v>
      </c>
    </row>
    <row r="6" spans="1:10" s="1" customFormat="1" ht="18.5" x14ac:dyDescent="0.45">
      <c r="A6" s="2" t="s">
        <v>0</v>
      </c>
      <c r="B6" s="4" t="s">
        <v>1</v>
      </c>
      <c r="C6" s="4" t="s">
        <v>113</v>
      </c>
      <c r="D6" s="4" t="s">
        <v>118</v>
      </c>
      <c r="E6" s="4" t="s">
        <v>115</v>
      </c>
      <c r="F6" s="18" t="s">
        <v>114</v>
      </c>
      <c r="G6" s="6" t="s">
        <v>117</v>
      </c>
      <c r="H6" s="8" t="s">
        <v>2</v>
      </c>
      <c r="I6" s="10" t="s">
        <v>112</v>
      </c>
      <c r="J6" s="2" t="s">
        <v>116</v>
      </c>
    </row>
    <row r="7" spans="1:10" x14ac:dyDescent="0.35">
      <c r="A7" s="3" t="s">
        <v>3</v>
      </c>
      <c r="B7" s="5">
        <v>950</v>
      </c>
      <c r="C7" s="5">
        <v>1525</v>
      </c>
      <c r="D7" s="5" t="str">
        <f t="shared" ref="D7:D38" si="0">IF(B7&lt;1300,"Budget friendly",IF(B7&gt;2500,"Premium","Value"))</f>
        <v>Budget friendly</v>
      </c>
      <c r="E7" s="5">
        <f>Table22[[#This Row],[Old price]]-Table22[[#This Row],[Current price]]</f>
        <v>575</v>
      </c>
      <c r="F7" s="19">
        <v>0.38</v>
      </c>
      <c r="G7" s="7" t="str">
        <f t="shared" ref="G7:G38" si="1">IF(F7&lt;0.2,"Low discount",IF(F7&gt;0.4,"High discount","Medium discount"))</f>
        <v>Medium discount</v>
      </c>
      <c r="H7" s="9">
        <v>2</v>
      </c>
      <c r="I7" s="11">
        <v>4.5</v>
      </c>
      <c r="J7" s="3" t="str">
        <f t="shared" ref="J7:J38" si="2">IF(ISBLANK(I7),"Not provided",IF(I7&lt;3,"Poor",IF(I7&gt;4.5,"Excellent","Average")))</f>
        <v>Average</v>
      </c>
    </row>
    <row r="8" spans="1:10" x14ac:dyDescent="0.35">
      <c r="A8" s="3" t="s">
        <v>4</v>
      </c>
      <c r="B8" s="5">
        <v>527</v>
      </c>
      <c r="C8" s="5">
        <v>999</v>
      </c>
      <c r="D8" s="5" t="str">
        <f t="shared" si="0"/>
        <v>Budget friendly</v>
      </c>
      <c r="E8" s="5">
        <f>Table22[[#This Row],[Old price]]-Table22[[#This Row],[Current price]]</f>
        <v>472</v>
      </c>
      <c r="F8" s="19">
        <v>0.47</v>
      </c>
      <c r="G8" s="7" t="str">
        <f t="shared" si="1"/>
        <v>High discount</v>
      </c>
      <c r="H8" s="9">
        <v>14</v>
      </c>
      <c r="I8" s="11">
        <v>4.0999999999999996</v>
      </c>
      <c r="J8" s="3" t="str">
        <f t="shared" si="2"/>
        <v>Average</v>
      </c>
    </row>
    <row r="9" spans="1:10" x14ac:dyDescent="0.35">
      <c r="A9" s="3" t="s">
        <v>5</v>
      </c>
      <c r="B9" s="5">
        <v>2199</v>
      </c>
      <c r="C9" s="5">
        <v>2923</v>
      </c>
      <c r="D9" s="5" t="str">
        <f t="shared" si="0"/>
        <v>Value</v>
      </c>
      <c r="E9" s="5">
        <f>Table22[[#This Row],[Old price]]-Table22[[#This Row],[Current price]]</f>
        <v>724</v>
      </c>
      <c r="F9" s="19">
        <v>0.25</v>
      </c>
      <c r="G9" s="7" t="str">
        <f t="shared" si="1"/>
        <v>Medium discount</v>
      </c>
      <c r="H9" s="9">
        <v>24</v>
      </c>
      <c r="I9" s="11">
        <v>4.5999999999999996</v>
      </c>
      <c r="J9" s="3" t="str">
        <f t="shared" si="2"/>
        <v>Excellent</v>
      </c>
    </row>
    <row r="10" spans="1:10" x14ac:dyDescent="0.35">
      <c r="A10" s="3" t="s">
        <v>6</v>
      </c>
      <c r="B10" s="5">
        <v>1580</v>
      </c>
      <c r="C10" s="5">
        <v>2499</v>
      </c>
      <c r="D10" s="5" t="str">
        <f t="shared" si="0"/>
        <v>Value</v>
      </c>
      <c r="E10" s="5">
        <f>Table22[[#This Row],[Old price]]-Table22[[#This Row],[Current price]]</f>
        <v>919</v>
      </c>
      <c r="F10" s="19">
        <v>0.37</v>
      </c>
      <c r="G10" s="7" t="str">
        <f t="shared" si="1"/>
        <v>Medium discount</v>
      </c>
      <c r="H10" s="9">
        <v>7</v>
      </c>
      <c r="I10" s="11">
        <v>4.7</v>
      </c>
      <c r="J10" s="3" t="str">
        <f t="shared" si="2"/>
        <v>Excellent</v>
      </c>
    </row>
    <row r="11" spans="1:10" x14ac:dyDescent="0.35">
      <c r="A11" s="3" t="s">
        <v>7</v>
      </c>
      <c r="B11" s="5">
        <v>1740</v>
      </c>
      <c r="C11" s="5">
        <v>2356</v>
      </c>
      <c r="D11" s="5" t="str">
        <f t="shared" si="0"/>
        <v>Value</v>
      </c>
      <c r="E11" s="5">
        <f>Table22[[#This Row],[Old price]]-Table22[[#This Row],[Current price]]</f>
        <v>616</v>
      </c>
      <c r="F11" s="19">
        <v>0.26</v>
      </c>
      <c r="G11" s="7" t="str">
        <f t="shared" si="1"/>
        <v>Medium discount</v>
      </c>
      <c r="H11" s="9">
        <v>5</v>
      </c>
      <c r="I11" s="11">
        <v>4.8</v>
      </c>
      <c r="J11" s="3" t="str">
        <f t="shared" si="2"/>
        <v>Excellent</v>
      </c>
    </row>
    <row r="12" spans="1:10" x14ac:dyDescent="0.35">
      <c r="A12" s="3" t="s">
        <v>8</v>
      </c>
      <c r="B12" s="5">
        <v>2999</v>
      </c>
      <c r="C12" s="5">
        <v>3290</v>
      </c>
      <c r="D12" s="5" t="str">
        <f t="shared" si="0"/>
        <v>Premium</v>
      </c>
      <c r="E12" s="5">
        <f>Table22[[#This Row],[Old price]]-Table22[[#This Row],[Current price]]</f>
        <v>291</v>
      </c>
      <c r="F12" s="19">
        <v>0.09</v>
      </c>
      <c r="G12" s="7" t="str">
        <f t="shared" si="1"/>
        <v>Low discount</v>
      </c>
      <c r="H12" s="9">
        <v>15</v>
      </c>
      <c r="I12" s="11">
        <v>4</v>
      </c>
      <c r="J12" s="3" t="str">
        <f t="shared" si="2"/>
        <v>Average</v>
      </c>
    </row>
    <row r="13" spans="1:10" x14ac:dyDescent="0.35">
      <c r="A13" s="3" t="s">
        <v>9</v>
      </c>
      <c r="B13" s="5">
        <v>2319</v>
      </c>
      <c r="C13" s="5">
        <v>3032</v>
      </c>
      <c r="D13" s="5" t="str">
        <f t="shared" si="0"/>
        <v>Value</v>
      </c>
      <c r="E13" s="5">
        <f>Table22[[#This Row],[Old price]]-Table22[[#This Row],[Current price]]</f>
        <v>713</v>
      </c>
      <c r="F13" s="19">
        <v>0.24</v>
      </c>
      <c r="G13" s="7" t="str">
        <f t="shared" si="1"/>
        <v>Medium discount</v>
      </c>
      <c r="H13" s="9">
        <v>55</v>
      </c>
      <c r="I13" s="11">
        <v>4.5999999999999996</v>
      </c>
      <c r="J13" s="3" t="str">
        <f t="shared" si="2"/>
        <v>Excellent</v>
      </c>
    </row>
    <row r="14" spans="1:10" x14ac:dyDescent="0.35">
      <c r="A14" s="3" t="s">
        <v>10</v>
      </c>
      <c r="B14" s="5">
        <v>988</v>
      </c>
      <c r="C14" s="5">
        <v>1580</v>
      </c>
      <c r="D14" s="5" t="str">
        <f t="shared" si="0"/>
        <v>Budget friendly</v>
      </c>
      <c r="E14" s="5">
        <f>Table22[[#This Row],[Old price]]-Table22[[#This Row],[Current price]]</f>
        <v>592</v>
      </c>
      <c r="F14" s="19">
        <v>0.37</v>
      </c>
      <c r="G14" s="7" t="str">
        <f t="shared" si="1"/>
        <v>Medium discount</v>
      </c>
      <c r="H14" s="9">
        <v>2</v>
      </c>
      <c r="I14" s="11">
        <v>4</v>
      </c>
      <c r="J14" s="3" t="str">
        <f t="shared" si="2"/>
        <v>Average</v>
      </c>
    </row>
    <row r="15" spans="1:10" x14ac:dyDescent="0.35">
      <c r="A15" s="3" t="s">
        <v>11</v>
      </c>
      <c r="B15" s="5">
        <v>1274</v>
      </c>
      <c r="C15" s="5">
        <v>2800</v>
      </c>
      <c r="D15" s="5" t="str">
        <f t="shared" si="0"/>
        <v>Budget friendly</v>
      </c>
      <c r="E15" s="5">
        <f>Table22[[#This Row],[Old price]]-Table22[[#This Row],[Current price]]</f>
        <v>1526</v>
      </c>
      <c r="F15" s="19">
        <v>0.55000000000000004</v>
      </c>
      <c r="G15" s="7" t="str">
        <f t="shared" si="1"/>
        <v>High discount</v>
      </c>
      <c r="H15" s="9">
        <v>5</v>
      </c>
      <c r="I15" s="11">
        <v>4.8</v>
      </c>
      <c r="J15" s="3" t="str">
        <f t="shared" si="2"/>
        <v>Excellent</v>
      </c>
    </row>
    <row r="16" spans="1:10" x14ac:dyDescent="0.35">
      <c r="A16" s="3" t="s">
        <v>12</v>
      </c>
      <c r="B16" s="5">
        <v>1600</v>
      </c>
      <c r="C16" s="5">
        <v>2929</v>
      </c>
      <c r="D16" s="5" t="str">
        <f t="shared" si="0"/>
        <v>Value</v>
      </c>
      <c r="E16" s="5">
        <f>Table22[[#This Row],[Old price]]-Table22[[#This Row],[Current price]]</f>
        <v>1329</v>
      </c>
      <c r="F16" s="19">
        <v>0.45</v>
      </c>
      <c r="G16" s="7" t="str">
        <f t="shared" si="1"/>
        <v>High discount</v>
      </c>
      <c r="H16" s="9">
        <v>5</v>
      </c>
      <c r="I16" s="11">
        <v>3.8</v>
      </c>
      <c r="J16" s="3" t="str">
        <f t="shared" si="2"/>
        <v>Average</v>
      </c>
    </row>
    <row r="17" spans="1:10" x14ac:dyDescent="0.35">
      <c r="A17" s="3" t="s">
        <v>13</v>
      </c>
      <c r="B17" s="5">
        <v>799</v>
      </c>
      <c r="C17" s="5">
        <v>999</v>
      </c>
      <c r="D17" s="5" t="str">
        <f t="shared" si="0"/>
        <v>Budget friendly</v>
      </c>
      <c r="E17" s="5">
        <f>Table22[[#This Row],[Old price]]-Table22[[#This Row],[Current price]]</f>
        <v>200</v>
      </c>
      <c r="F17" s="19">
        <v>0.2</v>
      </c>
      <c r="G17" s="7" t="str">
        <f t="shared" si="1"/>
        <v>Medium discount</v>
      </c>
      <c r="H17" s="9">
        <v>12</v>
      </c>
      <c r="I17" s="11">
        <v>4.0999999999999996</v>
      </c>
      <c r="J17" s="3" t="str">
        <f t="shared" si="2"/>
        <v>Average</v>
      </c>
    </row>
    <row r="18" spans="1:10" x14ac:dyDescent="0.35">
      <c r="A18" s="3" t="s">
        <v>14</v>
      </c>
      <c r="B18" s="5">
        <v>990</v>
      </c>
      <c r="C18" s="5">
        <v>1500</v>
      </c>
      <c r="D18" s="5" t="str">
        <f t="shared" si="0"/>
        <v>Budget friendly</v>
      </c>
      <c r="E18" s="5">
        <f>Table22[[#This Row],[Old price]]-Table22[[#This Row],[Current price]]</f>
        <v>510</v>
      </c>
      <c r="F18" s="19">
        <v>0.34</v>
      </c>
      <c r="G18" s="7" t="str">
        <f t="shared" si="1"/>
        <v>Medium discount</v>
      </c>
      <c r="H18" s="9">
        <v>39</v>
      </c>
      <c r="I18" s="11">
        <v>4.7</v>
      </c>
      <c r="J18" s="3" t="str">
        <f t="shared" si="2"/>
        <v>Excellent</v>
      </c>
    </row>
    <row r="19" spans="1:10" x14ac:dyDescent="0.35">
      <c r="A19" s="3" t="s">
        <v>15</v>
      </c>
      <c r="B19" s="5">
        <v>552</v>
      </c>
      <c r="C19" s="5">
        <v>1035</v>
      </c>
      <c r="D19" s="5" t="str">
        <f t="shared" si="0"/>
        <v>Budget friendly</v>
      </c>
      <c r="E19" s="5">
        <f>Table22[[#This Row],[Old price]]-Table22[[#This Row],[Current price]]</f>
        <v>483</v>
      </c>
      <c r="F19" s="19">
        <v>0.47</v>
      </c>
      <c r="G19" s="7" t="str">
        <f t="shared" si="1"/>
        <v>High discount</v>
      </c>
      <c r="H19" s="9">
        <v>12</v>
      </c>
      <c r="I19" s="11">
        <v>4.8</v>
      </c>
      <c r="J19" s="3" t="str">
        <f t="shared" si="2"/>
        <v>Excellent</v>
      </c>
    </row>
    <row r="20" spans="1:10" x14ac:dyDescent="0.35">
      <c r="A20" s="3" t="s">
        <v>16</v>
      </c>
      <c r="B20" s="5">
        <v>501</v>
      </c>
      <c r="C20" s="5">
        <v>860</v>
      </c>
      <c r="D20" s="5" t="str">
        <f t="shared" si="0"/>
        <v>Budget friendly</v>
      </c>
      <c r="E20" s="5">
        <f>Table22[[#This Row],[Old price]]-Table22[[#This Row],[Current price]]</f>
        <v>359</v>
      </c>
      <c r="F20" s="19">
        <v>0.42</v>
      </c>
      <c r="G20" s="7" t="str">
        <f t="shared" si="1"/>
        <v>High discount</v>
      </c>
      <c r="H20" s="9">
        <v>6</v>
      </c>
      <c r="I20" s="11">
        <v>4.5</v>
      </c>
      <c r="J20" s="3" t="str">
        <f t="shared" si="2"/>
        <v>Average</v>
      </c>
    </row>
    <row r="21" spans="1:10" x14ac:dyDescent="0.35">
      <c r="A21" s="3" t="s">
        <v>17</v>
      </c>
      <c r="B21" s="5">
        <v>1680</v>
      </c>
      <c r="C21" s="5">
        <v>2499</v>
      </c>
      <c r="D21" s="5" t="str">
        <f t="shared" si="0"/>
        <v>Value</v>
      </c>
      <c r="E21" s="5">
        <f>Table22[[#This Row],[Old price]]-Table22[[#This Row],[Current price]]</f>
        <v>819</v>
      </c>
      <c r="F21" s="19">
        <v>0.33</v>
      </c>
      <c r="G21" s="7" t="str">
        <f t="shared" si="1"/>
        <v>Medium discount</v>
      </c>
      <c r="H21" s="9">
        <v>9</v>
      </c>
      <c r="I21" s="11">
        <v>4.2</v>
      </c>
      <c r="J21" s="3" t="str">
        <f t="shared" si="2"/>
        <v>Average</v>
      </c>
    </row>
    <row r="22" spans="1:10" x14ac:dyDescent="0.35">
      <c r="A22" s="3" t="s">
        <v>18</v>
      </c>
      <c r="B22" s="5">
        <v>332</v>
      </c>
      <c r="C22" s="5">
        <v>684</v>
      </c>
      <c r="D22" s="5" t="str">
        <f t="shared" si="0"/>
        <v>Budget friendly</v>
      </c>
      <c r="E22" s="5">
        <f>Table22[[#This Row],[Old price]]-Table22[[#This Row],[Current price]]</f>
        <v>352</v>
      </c>
      <c r="F22" s="19">
        <v>0.51</v>
      </c>
      <c r="G22" s="7" t="str">
        <f t="shared" si="1"/>
        <v>High discount</v>
      </c>
      <c r="H22" s="9">
        <v>2</v>
      </c>
      <c r="I22" s="11">
        <v>5</v>
      </c>
      <c r="J22" s="3" t="str">
        <f t="shared" si="2"/>
        <v>Excellent</v>
      </c>
    </row>
    <row r="23" spans="1:10" x14ac:dyDescent="0.35">
      <c r="A23" s="3" t="s">
        <v>19</v>
      </c>
      <c r="B23" s="5">
        <v>195</v>
      </c>
      <c r="C23" s="5">
        <v>360</v>
      </c>
      <c r="D23" s="5" t="str">
        <f t="shared" si="0"/>
        <v>Budget friendly</v>
      </c>
      <c r="E23" s="5">
        <f>Table22[[#This Row],[Old price]]-Table22[[#This Row],[Current price]]</f>
        <v>165</v>
      </c>
      <c r="F23" s="19">
        <v>0.46</v>
      </c>
      <c r="G23" s="7" t="str">
        <f t="shared" si="1"/>
        <v>High discount</v>
      </c>
      <c r="H23" s="9">
        <v>2</v>
      </c>
      <c r="I23" s="11">
        <v>5</v>
      </c>
      <c r="J23" s="3" t="str">
        <f t="shared" si="2"/>
        <v>Excellent</v>
      </c>
    </row>
    <row r="24" spans="1:10" x14ac:dyDescent="0.35">
      <c r="A24" s="3" t="s">
        <v>20</v>
      </c>
      <c r="B24" s="5">
        <v>2025</v>
      </c>
      <c r="C24" s="5">
        <v>3971</v>
      </c>
      <c r="D24" s="5" t="str">
        <f t="shared" si="0"/>
        <v>Value</v>
      </c>
      <c r="E24" s="5">
        <f>Table22[[#This Row],[Old price]]-Table22[[#This Row],[Current price]]</f>
        <v>1946</v>
      </c>
      <c r="F24" s="19">
        <v>0.49</v>
      </c>
      <c r="G24" s="7" t="str">
        <f t="shared" si="1"/>
        <v>High discount</v>
      </c>
      <c r="H24" s="9">
        <v>3</v>
      </c>
      <c r="I24" s="11">
        <v>5</v>
      </c>
      <c r="J24" s="3" t="str">
        <f t="shared" si="2"/>
        <v>Excellent</v>
      </c>
    </row>
    <row r="25" spans="1:10" x14ac:dyDescent="0.35">
      <c r="A25" s="3" t="s">
        <v>21</v>
      </c>
      <c r="B25" s="5">
        <v>2999</v>
      </c>
      <c r="C25" s="5">
        <v>3699</v>
      </c>
      <c r="D25" s="5" t="str">
        <f t="shared" si="0"/>
        <v>Premium</v>
      </c>
      <c r="E25" s="5">
        <f>Table22[[#This Row],[Old price]]-Table22[[#This Row],[Current price]]</f>
        <v>700</v>
      </c>
      <c r="F25" s="19">
        <v>0.19</v>
      </c>
      <c r="G25" s="7" t="str">
        <f t="shared" si="1"/>
        <v>Low discount</v>
      </c>
      <c r="H25" s="9">
        <v>5</v>
      </c>
      <c r="I25" s="11">
        <v>4.5999999999999996</v>
      </c>
      <c r="J25" s="3" t="str">
        <f t="shared" si="2"/>
        <v>Excellent</v>
      </c>
    </row>
    <row r="26" spans="1:10" x14ac:dyDescent="0.35">
      <c r="A26" s="3" t="s">
        <v>22</v>
      </c>
      <c r="B26" s="5">
        <v>998</v>
      </c>
      <c r="C26" s="5">
        <v>1966</v>
      </c>
      <c r="D26" s="5" t="str">
        <f t="shared" si="0"/>
        <v>Budget friendly</v>
      </c>
      <c r="E26" s="5">
        <f>Table22[[#This Row],[Old price]]-Table22[[#This Row],[Current price]]</f>
        <v>968</v>
      </c>
      <c r="F26" s="19">
        <v>0.49</v>
      </c>
      <c r="G26" s="7" t="str">
        <f t="shared" si="1"/>
        <v>High discount</v>
      </c>
      <c r="H26" s="9">
        <v>44</v>
      </c>
      <c r="I26" s="11">
        <v>4.5999999999999996</v>
      </c>
      <c r="J26" s="3" t="str">
        <f t="shared" si="2"/>
        <v>Excellent</v>
      </c>
    </row>
    <row r="27" spans="1:10" x14ac:dyDescent="0.35">
      <c r="A27" s="3" t="s">
        <v>23</v>
      </c>
      <c r="B27" s="5">
        <v>38</v>
      </c>
      <c r="C27" s="5">
        <v>80</v>
      </c>
      <c r="D27" s="5" t="str">
        <f t="shared" si="0"/>
        <v>Budget friendly</v>
      </c>
      <c r="E27" s="5">
        <f>Table22[[#This Row],[Old price]]-Table22[[#This Row],[Current price]]</f>
        <v>42</v>
      </c>
      <c r="F27" s="19">
        <v>0.53</v>
      </c>
      <c r="G27" s="7" t="str">
        <f t="shared" si="1"/>
        <v>High discount</v>
      </c>
      <c r="H27" s="9">
        <v>13</v>
      </c>
      <c r="I27" s="11">
        <v>3.3</v>
      </c>
      <c r="J27" s="3" t="str">
        <f t="shared" si="2"/>
        <v>Average</v>
      </c>
    </row>
    <row r="28" spans="1:10" x14ac:dyDescent="0.35">
      <c r="A28" s="3" t="s">
        <v>24</v>
      </c>
      <c r="B28" s="5">
        <v>1860</v>
      </c>
      <c r="C28" s="5">
        <v>3220</v>
      </c>
      <c r="D28" s="5" t="str">
        <f t="shared" si="0"/>
        <v>Value</v>
      </c>
      <c r="E28" s="5">
        <f>Table22[[#This Row],[Old price]]-Table22[[#This Row],[Current price]]</f>
        <v>1360</v>
      </c>
      <c r="F28" s="19">
        <v>0.42</v>
      </c>
      <c r="G28" s="7" t="str">
        <f t="shared" si="1"/>
        <v>High discount</v>
      </c>
      <c r="J28" s="3" t="str">
        <f t="shared" si="2"/>
        <v>Not provided</v>
      </c>
    </row>
    <row r="29" spans="1:10" x14ac:dyDescent="0.35">
      <c r="A29" s="3" t="s">
        <v>25</v>
      </c>
      <c r="B29" s="5">
        <v>880</v>
      </c>
      <c r="C29" s="5">
        <v>1350</v>
      </c>
      <c r="D29" s="5" t="str">
        <f t="shared" si="0"/>
        <v>Budget friendly</v>
      </c>
      <c r="E29" s="5">
        <f>Table22[[#This Row],[Old price]]-Table22[[#This Row],[Current price]]</f>
        <v>470</v>
      </c>
      <c r="F29" s="19">
        <v>0.35</v>
      </c>
      <c r="G29" s="7" t="str">
        <f t="shared" si="1"/>
        <v>Medium discount</v>
      </c>
      <c r="H29" s="9">
        <v>6</v>
      </c>
      <c r="I29" s="11">
        <v>4</v>
      </c>
      <c r="J29" s="3" t="str">
        <f t="shared" si="2"/>
        <v>Average</v>
      </c>
    </row>
    <row r="30" spans="1:10" x14ac:dyDescent="0.35">
      <c r="A30" s="3" t="s">
        <v>26</v>
      </c>
      <c r="B30" s="5">
        <v>1650</v>
      </c>
      <c r="C30" s="5">
        <v>2150</v>
      </c>
      <c r="D30" s="5" t="str">
        <f t="shared" si="0"/>
        <v>Value</v>
      </c>
      <c r="E30" s="5">
        <f>Table22[[#This Row],[Old price]]-Table22[[#This Row],[Current price]]</f>
        <v>500</v>
      </c>
      <c r="F30" s="19">
        <v>0.23</v>
      </c>
      <c r="G30" s="7" t="str">
        <f t="shared" si="1"/>
        <v>Medium discount</v>
      </c>
      <c r="H30" s="9">
        <v>14</v>
      </c>
      <c r="I30" s="11">
        <v>4.4000000000000004</v>
      </c>
      <c r="J30" s="3" t="str">
        <f t="shared" si="2"/>
        <v>Average</v>
      </c>
    </row>
    <row r="31" spans="1:10" x14ac:dyDescent="0.35">
      <c r="A31" s="3" t="s">
        <v>27</v>
      </c>
      <c r="B31" s="5">
        <v>2048</v>
      </c>
      <c r="C31" s="5">
        <v>4500</v>
      </c>
      <c r="D31" s="5" t="str">
        <f t="shared" si="0"/>
        <v>Value</v>
      </c>
      <c r="E31" s="5">
        <f>Table22[[#This Row],[Old price]]-Table22[[#This Row],[Current price]]</f>
        <v>2452</v>
      </c>
      <c r="F31" s="19">
        <v>0.54</v>
      </c>
      <c r="G31" s="7" t="str">
        <f t="shared" si="1"/>
        <v>High discount</v>
      </c>
      <c r="H31" s="9">
        <v>7</v>
      </c>
      <c r="I31" s="11">
        <v>4.3</v>
      </c>
      <c r="J31" s="3" t="str">
        <f t="shared" si="2"/>
        <v>Average</v>
      </c>
    </row>
    <row r="32" spans="1:10" x14ac:dyDescent="0.35">
      <c r="A32" s="3" t="s">
        <v>28</v>
      </c>
      <c r="B32" s="5">
        <v>420</v>
      </c>
      <c r="C32" s="5">
        <v>647</v>
      </c>
      <c r="D32" s="5" t="str">
        <f t="shared" si="0"/>
        <v>Budget friendly</v>
      </c>
      <c r="E32" s="5">
        <f>Table22[[#This Row],[Old price]]-Table22[[#This Row],[Current price]]</f>
        <v>227</v>
      </c>
      <c r="F32" s="19">
        <v>0.35</v>
      </c>
      <c r="G32" s="7" t="str">
        <f t="shared" si="1"/>
        <v>Medium discount</v>
      </c>
      <c r="H32" s="9">
        <v>49</v>
      </c>
      <c r="I32" s="11">
        <v>4.5999999999999996</v>
      </c>
      <c r="J32" s="3" t="str">
        <f t="shared" si="2"/>
        <v>Excellent</v>
      </c>
    </row>
    <row r="33" spans="1:10" x14ac:dyDescent="0.35">
      <c r="A33" s="3" t="s">
        <v>29</v>
      </c>
      <c r="B33" s="5">
        <v>2880</v>
      </c>
      <c r="C33" s="5">
        <v>3520</v>
      </c>
      <c r="D33" s="5" t="str">
        <f t="shared" si="0"/>
        <v>Premium</v>
      </c>
      <c r="E33" s="5">
        <f>Table22[[#This Row],[Old price]]-Table22[[#This Row],[Current price]]</f>
        <v>640</v>
      </c>
      <c r="F33" s="19">
        <v>0.18</v>
      </c>
      <c r="G33" s="7" t="str">
        <f t="shared" si="1"/>
        <v>Low discount</v>
      </c>
      <c r="H33" s="9">
        <v>12</v>
      </c>
      <c r="I33" s="11">
        <v>3.8</v>
      </c>
      <c r="J33" s="3" t="str">
        <f t="shared" si="2"/>
        <v>Average</v>
      </c>
    </row>
    <row r="34" spans="1:10" x14ac:dyDescent="0.35">
      <c r="A34" s="3" t="s">
        <v>30</v>
      </c>
      <c r="B34" s="5">
        <v>1350</v>
      </c>
      <c r="C34" s="5">
        <v>1990</v>
      </c>
      <c r="D34" s="5" t="str">
        <f t="shared" si="0"/>
        <v>Value</v>
      </c>
      <c r="E34" s="5">
        <f>Table22[[#This Row],[Old price]]-Table22[[#This Row],[Current price]]</f>
        <v>640</v>
      </c>
      <c r="F34" s="19">
        <v>0.32</v>
      </c>
      <c r="G34" s="7" t="str">
        <f t="shared" si="1"/>
        <v>Medium discount</v>
      </c>
      <c r="H34" s="9">
        <v>13</v>
      </c>
      <c r="I34" s="11">
        <v>3.8</v>
      </c>
      <c r="J34" s="3" t="str">
        <f t="shared" si="2"/>
        <v>Average</v>
      </c>
    </row>
    <row r="35" spans="1:10" x14ac:dyDescent="0.35">
      <c r="A35" s="3" t="s">
        <v>31</v>
      </c>
      <c r="B35" s="5">
        <v>1758</v>
      </c>
      <c r="C35" s="5">
        <v>2499</v>
      </c>
      <c r="D35" s="5" t="str">
        <f t="shared" si="0"/>
        <v>Value</v>
      </c>
      <c r="E35" s="5">
        <f>Table22[[#This Row],[Old price]]-Table22[[#This Row],[Current price]]</f>
        <v>741</v>
      </c>
      <c r="F35" s="19">
        <v>0.3</v>
      </c>
      <c r="G35" s="7" t="str">
        <f t="shared" si="1"/>
        <v>Medium discount</v>
      </c>
      <c r="H35" s="9">
        <v>20</v>
      </c>
      <c r="I35" s="11">
        <v>4.0999999999999996</v>
      </c>
      <c r="J35" s="3" t="str">
        <f t="shared" si="2"/>
        <v>Average</v>
      </c>
    </row>
    <row r="36" spans="1:10" x14ac:dyDescent="0.35">
      <c r="A36" s="3" t="s">
        <v>32</v>
      </c>
      <c r="B36" s="5">
        <v>2200</v>
      </c>
      <c r="C36" s="5">
        <v>4080</v>
      </c>
      <c r="D36" s="5" t="str">
        <f t="shared" si="0"/>
        <v>Value</v>
      </c>
      <c r="E36" s="5">
        <f>Table22[[#This Row],[Old price]]-Table22[[#This Row],[Current price]]</f>
        <v>1880</v>
      </c>
      <c r="F36" s="19">
        <v>0.46</v>
      </c>
      <c r="G36" s="7" t="str">
        <f t="shared" si="1"/>
        <v>High discount</v>
      </c>
      <c r="J36" s="3" t="str">
        <f t="shared" si="2"/>
        <v>Not provided</v>
      </c>
    </row>
    <row r="37" spans="1:10" x14ac:dyDescent="0.35">
      <c r="A37" s="3" t="s">
        <v>33</v>
      </c>
      <c r="B37" s="5">
        <v>185</v>
      </c>
      <c r="C37" s="5">
        <v>382</v>
      </c>
      <c r="D37" s="5" t="str">
        <f t="shared" si="0"/>
        <v>Budget friendly</v>
      </c>
      <c r="E37" s="5">
        <f>Table22[[#This Row],[Old price]]-Table22[[#This Row],[Current price]]</f>
        <v>197</v>
      </c>
      <c r="F37" s="19">
        <v>0.52</v>
      </c>
      <c r="G37" s="7" t="str">
        <f t="shared" si="1"/>
        <v>High discount</v>
      </c>
      <c r="H37" s="9">
        <v>9</v>
      </c>
      <c r="I37" s="11">
        <v>4.3</v>
      </c>
      <c r="J37" s="3" t="str">
        <f t="shared" si="2"/>
        <v>Average</v>
      </c>
    </row>
    <row r="38" spans="1:10" x14ac:dyDescent="0.35">
      <c r="A38" s="3" t="s">
        <v>34</v>
      </c>
      <c r="B38" s="5">
        <v>980</v>
      </c>
      <c r="C38" s="5">
        <v>1490</v>
      </c>
      <c r="D38" s="5" t="str">
        <f t="shared" si="0"/>
        <v>Budget friendly</v>
      </c>
      <c r="E38" s="5">
        <f>Table22[[#This Row],[Old price]]-Table22[[#This Row],[Current price]]</f>
        <v>510</v>
      </c>
      <c r="F38" s="19">
        <v>0.34</v>
      </c>
      <c r="G38" s="7" t="str">
        <f t="shared" si="1"/>
        <v>Medium discount</v>
      </c>
      <c r="H38" s="9">
        <v>12</v>
      </c>
      <c r="I38" s="11">
        <v>4.7</v>
      </c>
      <c r="J38" s="3" t="str">
        <f t="shared" si="2"/>
        <v>Excellent</v>
      </c>
    </row>
    <row r="39" spans="1:10" x14ac:dyDescent="0.35">
      <c r="A39" s="3" t="s">
        <v>35</v>
      </c>
      <c r="B39" s="5">
        <v>1820</v>
      </c>
      <c r="C39" s="5">
        <v>3490</v>
      </c>
      <c r="D39" s="5" t="str">
        <f t="shared" ref="D39:D70" si="3">IF(B39&lt;1300,"Budget friendly",IF(B39&gt;2500,"Premium","Value"))</f>
        <v>Value</v>
      </c>
      <c r="E39" s="5">
        <f>Table22[[#This Row],[Old price]]-Table22[[#This Row],[Current price]]</f>
        <v>1670</v>
      </c>
      <c r="F39" s="19">
        <v>0.48</v>
      </c>
      <c r="G39" s="7" t="str">
        <f t="shared" ref="G39:G70" si="4">IF(F39&lt;0.2,"Low discount",IF(F39&gt;0.4,"High discount","Medium discount"))</f>
        <v>High discount</v>
      </c>
      <c r="H39" s="9">
        <v>9</v>
      </c>
      <c r="I39" s="11">
        <v>4.3</v>
      </c>
      <c r="J39" s="3" t="str">
        <f t="shared" ref="J39:J70" si="5">IF(ISBLANK(I39),"Not provided",IF(I39&lt;3,"Poor",IF(I39&gt;4.5,"Excellent","Average")))</f>
        <v>Average</v>
      </c>
    </row>
    <row r="40" spans="1:10" x14ac:dyDescent="0.35">
      <c r="A40" s="3" t="s">
        <v>36</v>
      </c>
      <c r="B40" s="5">
        <v>1940</v>
      </c>
      <c r="C40" s="5">
        <v>2650</v>
      </c>
      <c r="D40" s="5" t="str">
        <f t="shared" si="3"/>
        <v>Value</v>
      </c>
      <c r="E40" s="5">
        <f>Table22[[#This Row],[Old price]]-Table22[[#This Row],[Current price]]</f>
        <v>710</v>
      </c>
      <c r="F40" s="19">
        <v>0.27</v>
      </c>
      <c r="G40" s="7" t="str">
        <f t="shared" si="4"/>
        <v>Medium discount</v>
      </c>
      <c r="H40" s="9">
        <v>20</v>
      </c>
      <c r="I40" s="11">
        <v>4.7</v>
      </c>
      <c r="J40" s="3" t="str">
        <f t="shared" si="5"/>
        <v>Excellent</v>
      </c>
    </row>
    <row r="41" spans="1:10" x14ac:dyDescent="0.35">
      <c r="A41" s="3" t="s">
        <v>37</v>
      </c>
      <c r="B41" s="5">
        <v>1980</v>
      </c>
      <c r="C41" s="5">
        <v>2699</v>
      </c>
      <c r="D41" s="5" t="str">
        <f t="shared" si="3"/>
        <v>Value</v>
      </c>
      <c r="E41" s="5">
        <f>Table22[[#This Row],[Old price]]-Table22[[#This Row],[Current price]]</f>
        <v>719</v>
      </c>
      <c r="F41" s="19">
        <v>0.27</v>
      </c>
      <c r="G41" s="7" t="str">
        <f t="shared" si="4"/>
        <v>Medium discount</v>
      </c>
      <c r="H41" s="9">
        <v>32</v>
      </c>
      <c r="I41" s="11">
        <v>4.5</v>
      </c>
      <c r="J41" s="3" t="str">
        <f t="shared" si="5"/>
        <v>Average</v>
      </c>
    </row>
    <row r="42" spans="1:10" x14ac:dyDescent="0.35">
      <c r="A42" s="3" t="s">
        <v>38</v>
      </c>
      <c r="B42" s="5">
        <v>1620</v>
      </c>
      <c r="C42" s="5">
        <v>2690</v>
      </c>
      <c r="D42" s="5" t="str">
        <f t="shared" si="3"/>
        <v>Value</v>
      </c>
      <c r="E42" s="5">
        <f>Table22[[#This Row],[Old price]]-Table22[[#This Row],[Current price]]</f>
        <v>1070</v>
      </c>
      <c r="F42" s="19">
        <v>0.4</v>
      </c>
      <c r="G42" s="7" t="str">
        <f t="shared" si="4"/>
        <v>Medium discount</v>
      </c>
      <c r="H42" s="9">
        <v>1</v>
      </c>
      <c r="I42" s="11">
        <v>5</v>
      </c>
      <c r="J42" s="3" t="str">
        <f t="shared" si="5"/>
        <v>Excellent</v>
      </c>
    </row>
    <row r="43" spans="1:10" x14ac:dyDescent="0.35">
      <c r="A43" s="3" t="s">
        <v>39</v>
      </c>
      <c r="B43" s="5">
        <v>171</v>
      </c>
      <c r="C43" s="5">
        <v>360</v>
      </c>
      <c r="D43" s="5" t="str">
        <f t="shared" si="3"/>
        <v>Budget friendly</v>
      </c>
      <c r="E43" s="5">
        <f>Table22[[#This Row],[Old price]]-Table22[[#This Row],[Current price]]</f>
        <v>189</v>
      </c>
      <c r="F43" s="19">
        <v>0.53</v>
      </c>
      <c r="G43" s="7" t="str">
        <f t="shared" si="4"/>
        <v>High discount</v>
      </c>
      <c r="H43" s="9">
        <v>2</v>
      </c>
      <c r="I43" s="11">
        <v>5</v>
      </c>
      <c r="J43" s="3" t="str">
        <f t="shared" si="5"/>
        <v>Excellent</v>
      </c>
    </row>
    <row r="44" spans="1:10" x14ac:dyDescent="0.35">
      <c r="A44" s="3" t="s">
        <v>40</v>
      </c>
      <c r="B44" s="5">
        <v>389</v>
      </c>
      <c r="C44" s="5">
        <v>656</v>
      </c>
      <c r="D44" s="5" t="str">
        <f t="shared" si="3"/>
        <v>Budget friendly</v>
      </c>
      <c r="E44" s="5">
        <f>Table22[[#This Row],[Old price]]-Table22[[#This Row],[Current price]]</f>
        <v>267</v>
      </c>
      <c r="F44" s="19">
        <v>0.41</v>
      </c>
      <c r="G44" s="7" t="str">
        <f t="shared" si="4"/>
        <v>High discount</v>
      </c>
      <c r="H44" s="9">
        <v>36</v>
      </c>
      <c r="I44" s="11">
        <v>4.3</v>
      </c>
      <c r="J44" s="3" t="str">
        <f t="shared" si="5"/>
        <v>Average</v>
      </c>
    </row>
    <row r="45" spans="1:10" x14ac:dyDescent="0.35">
      <c r="A45" s="3" t="s">
        <v>41</v>
      </c>
      <c r="B45" s="5">
        <v>1800</v>
      </c>
      <c r="C45" s="5">
        <v>2700</v>
      </c>
      <c r="D45" s="5" t="str">
        <f t="shared" si="3"/>
        <v>Value</v>
      </c>
      <c r="E45" s="5">
        <f>Table22[[#This Row],[Old price]]-Table22[[#This Row],[Current price]]</f>
        <v>900</v>
      </c>
      <c r="F45" s="19">
        <v>0.38</v>
      </c>
      <c r="G45" s="7" t="str">
        <f t="shared" si="4"/>
        <v>Medium discount</v>
      </c>
      <c r="H45" s="9">
        <v>2</v>
      </c>
      <c r="I45" s="11">
        <v>4.5</v>
      </c>
      <c r="J45" s="3" t="str">
        <f t="shared" si="5"/>
        <v>Average</v>
      </c>
    </row>
    <row r="46" spans="1:10" x14ac:dyDescent="0.35">
      <c r="A46" s="3" t="s">
        <v>42</v>
      </c>
      <c r="B46" s="5">
        <v>2750</v>
      </c>
      <c r="C46" s="5">
        <v>4471</v>
      </c>
      <c r="D46" s="5" t="str">
        <f t="shared" si="3"/>
        <v>Premium</v>
      </c>
      <c r="E46" s="5">
        <f>Table22[[#This Row],[Old price]]-Table22[[#This Row],[Current price]]</f>
        <v>1721</v>
      </c>
      <c r="F46" s="19">
        <v>0.38</v>
      </c>
      <c r="G46" s="7" t="str">
        <f t="shared" si="4"/>
        <v>Medium discount</v>
      </c>
      <c r="J46" s="3" t="str">
        <f t="shared" si="5"/>
        <v>Not provided</v>
      </c>
    </row>
    <row r="47" spans="1:10" x14ac:dyDescent="0.35">
      <c r="A47" s="3" t="s">
        <v>43</v>
      </c>
      <c r="B47" s="5">
        <v>475</v>
      </c>
      <c r="C47" s="5">
        <v>931</v>
      </c>
      <c r="D47" s="5" t="str">
        <f t="shared" si="3"/>
        <v>Budget friendly</v>
      </c>
      <c r="E47" s="5">
        <f>Table22[[#This Row],[Old price]]-Table22[[#This Row],[Current price]]</f>
        <v>456</v>
      </c>
      <c r="F47" s="19">
        <v>0.49</v>
      </c>
      <c r="G47" s="7" t="str">
        <f t="shared" si="4"/>
        <v>High discount</v>
      </c>
      <c r="J47" s="3" t="str">
        <f t="shared" si="5"/>
        <v>Not provided</v>
      </c>
    </row>
    <row r="48" spans="1:10" x14ac:dyDescent="0.35">
      <c r="A48" s="3" t="s">
        <v>44</v>
      </c>
      <c r="B48" s="5">
        <v>238</v>
      </c>
      <c r="C48" s="5">
        <v>476</v>
      </c>
      <c r="D48" s="5" t="str">
        <f t="shared" si="3"/>
        <v>Budget friendly</v>
      </c>
      <c r="E48" s="5">
        <f>Table22[[#This Row],[Old price]]-Table22[[#This Row],[Current price]]</f>
        <v>238</v>
      </c>
      <c r="F48" s="19">
        <v>0.5</v>
      </c>
      <c r="G48" s="7" t="str">
        <f t="shared" si="4"/>
        <v>High discount</v>
      </c>
      <c r="J48" s="3" t="str">
        <f t="shared" si="5"/>
        <v>Not provided</v>
      </c>
    </row>
    <row r="49" spans="1:10" x14ac:dyDescent="0.35">
      <c r="A49" s="3" t="s">
        <v>45</v>
      </c>
      <c r="B49" s="5">
        <v>610</v>
      </c>
      <c r="C49" s="5">
        <v>1060</v>
      </c>
      <c r="D49" s="5" t="str">
        <f t="shared" si="3"/>
        <v>Budget friendly</v>
      </c>
      <c r="E49" s="5">
        <f>Table22[[#This Row],[Old price]]-Table22[[#This Row],[Current price]]</f>
        <v>450</v>
      </c>
      <c r="F49" s="19">
        <v>0.42</v>
      </c>
      <c r="G49" s="7" t="str">
        <f t="shared" si="4"/>
        <v>High discount</v>
      </c>
      <c r="J49" s="3" t="str">
        <f t="shared" si="5"/>
        <v>Not provided</v>
      </c>
    </row>
    <row r="50" spans="1:10" x14ac:dyDescent="0.35">
      <c r="A50" s="3" t="s">
        <v>46</v>
      </c>
      <c r="B50" s="5">
        <v>2132</v>
      </c>
      <c r="C50" s="5">
        <v>2169</v>
      </c>
      <c r="D50" s="5" t="str">
        <f t="shared" si="3"/>
        <v>Value</v>
      </c>
      <c r="E50" s="5">
        <f>Table22[[#This Row],[Old price]]-Table22[[#This Row],[Current price]]</f>
        <v>37</v>
      </c>
      <c r="F50" s="19">
        <v>0.02</v>
      </c>
      <c r="G50" s="7" t="str">
        <f t="shared" si="4"/>
        <v>Low discount</v>
      </c>
      <c r="J50" s="3" t="str">
        <f t="shared" si="5"/>
        <v>Not provided</v>
      </c>
    </row>
    <row r="51" spans="1:10" x14ac:dyDescent="0.35">
      <c r="A51" s="3" t="s">
        <v>47</v>
      </c>
      <c r="B51" s="5">
        <v>999</v>
      </c>
      <c r="C51" s="5">
        <v>2000</v>
      </c>
      <c r="D51" s="5" t="str">
        <f t="shared" si="3"/>
        <v>Budget friendly</v>
      </c>
      <c r="E51" s="5">
        <f>Table22[[#This Row],[Old price]]-Table22[[#This Row],[Current price]]</f>
        <v>1001</v>
      </c>
      <c r="F51" s="19">
        <v>0.5</v>
      </c>
      <c r="G51" s="7" t="str">
        <f t="shared" si="4"/>
        <v>High discount</v>
      </c>
      <c r="J51" s="3" t="str">
        <f t="shared" si="5"/>
        <v>Not provided</v>
      </c>
    </row>
    <row r="52" spans="1:10" x14ac:dyDescent="0.35">
      <c r="A52" s="3" t="s">
        <v>48</v>
      </c>
      <c r="B52" s="5">
        <v>1190</v>
      </c>
      <c r="C52" s="5">
        <v>1785</v>
      </c>
      <c r="D52" s="5" t="str">
        <f t="shared" si="3"/>
        <v>Budget friendly</v>
      </c>
      <c r="E52" s="5">
        <f>Table22[[#This Row],[Old price]]-Table22[[#This Row],[Current price]]</f>
        <v>595</v>
      </c>
      <c r="F52" s="19">
        <v>0.33</v>
      </c>
      <c r="G52" s="7" t="str">
        <f t="shared" si="4"/>
        <v>Medium discount</v>
      </c>
      <c r="J52" s="3" t="str">
        <f t="shared" si="5"/>
        <v>Not provided</v>
      </c>
    </row>
    <row r="53" spans="1:10" x14ac:dyDescent="0.35">
      <c r="A53" s="3" t="s">
        <v>49</v>
      </c>
      <c r="B53" s="5">
        <v>671</v>
      </c>
      <c r="C53" s="5">
        <v>1316</v>
      </c>
      <c r="D53" s="5" t="str">
        <f t="shared" si="3"/>
        <v>Budget friendly</v>
      </c>
      <c r="E53" s="5">
        <f>Table22[[#This Row],[Old price]]-Table22[[#This Row],[Current price]]</f>
        <v>645</v>
      </c>
      <c r="F53" s="19">
        <v>0.49</v>
      </c>
      <c r="G53" s="7" t="str">
        <f t="shared" si="4"/>
        <v>High discount</v>
      </c>
      <c r="J53" s="3" t="str">
        <f t="shared" si="5"/>
        <v>Not provided</v>
      </c>
    </row>
    <row r="54" spans="1:10" x14ac:dyDescent="0.35">
      <c r="A54" s="3" t="s">
        <v>50</v>
      </c>
      <c r="B54" s="5">
        <v>1200</v>
      </c>
      <c r="C54" s="5">
        <v>1950</v>
      </c>
      <c r="D54" s="5" t="str">
        <f t="shared" si="3"/>
        <v>Budget friendly</v>
      </c>
      <c r="E54" s="5">
        <f>Table22[[#This Row],[Old price]]-Table22[[#This Row],[Current price]]</f>
        <v>750</v>
      </c>
      <c r="F54" s="19">
        <v>0.38</v>
      </c>
      <c r="G54" s="7" t="str">
        <f t="shared" si="4"/>
        <v>Medium discount</v>
      </c>
      <c r="J54" s="3" t="str">
        <f t="shared" si="5"/>
        <v>Not provided</v>
      </c>
    </row>
    <row r="55" spans="1:10" x14ac:dyDescent="0.35">
      <c r="A55" s="3" t="s">
        <v>51</v>
      </c>
      <c r="B55" s="5">
        <v>199</v>
      </c>
      <c r="C55" s="5">
        <v>504</v>
      </c>
      <c r="D55" s="5" t="str">
        <f t="shared" si="3"/>
        <v>Budget friendly</v>
      </c>
      <c r="E55" s="5">
        <f>Table22[[#This Row],[Old price]]-Table22[[#This Row],[Current price]]</f>
        <v>305</v>
      </c>
      <c r="F55" s="19">
        <v>0.61</v>
      </c>
      <c r="G55" s="7" t="str">
        <f t="shared" si="4"/>
        <v>High discount</v>
      </c>
      <c r="J55" s="3" t="str">
        <f t="shared" si="5"/>
        <v>Not provided</v>
      </c>
    </row>
    <row r="56" spans="1:10" x14ac:dyDescent="0.35">
      <c r="A56" s="3" t="s">
        <v>52</v>
      </c>
      <c r="B56" s="5">
        <v>299</v>
      </c>
      <c r="C56" s="5">
        <v>600</v>
      </c>
      <c r="D56" s="5" t="str">
        <f t="shared" si="3"/>
        <v>Budget friendly</v>
      </c>
      <c r="E56" s="5">
        <f>Table22[[#This Row],[Old price]]-Table22[[#This Row],[Current price]]</f>
        <v>301</v>
      </c>
      <c r="F56" s="19">
        <v>0.5</v>
      </c>
      <c r="G56" s="7" t="str">
        <f t="shared" si="4"/>
        <v>High discount</v>
      </c>
      <c r="J56" s="3" t="str">
        <f t="shared" si="5"/>
        <v>Not provided</v>
      </c>
    </row>
    <row r="57" spans="1:10" x14ac:dyDescent="0.35">
      <c r="A57" s="3" t="s">
        <v>53</v>
      </c>
      <c r="B57" s="5">
        <v>1660</v>
      </c>
      <c r="C57" s="5">
        <v>1699</v>
      </c>
      <c r="D57" s="5" t="str">
        <f t="shared" si="3"/>
        <v>Value</v>
      </c>
      <c r="E57" s="5">
        <f>Table22[[#This Row],[Old price]]-Table22[[#This Row],[Current price]]</f>
        <v>39</v>
      </c>
      <c r="F57" s="19">
        <v>0.02</v>
      </c>
      <c r="G57" s="7" t="str">
        <f t="shared" si="4"/>
        <v>Low discount</v>
      </c>
      <c r="J57" s="3" t="str">
        <f t="shared" si="5"/>
        <v>Not provided</v>
      </c>
    </row>
    <row r="58" spans="1:10" x14ac:dyDescent="0.35">
      <c r="A58" s="3" t="s">
        <v>54</v>
      </c>
      <c r="B58" s="5">
        <v>299</v>
      </c>
      <c r="C58" s="5">
        <v>384</v>
      </c>
      <c r="D58" s="5" t="str">
        <f t="shared" si="3"/>
        <v>Budget friendly</v>
      </c>
      <c r="E58" s="5">
        <f>Table22[[#This Row],[Old price]]-Table22[[#This Row],[Current price]]</f>
        <v>85</v>
      </c>
      <c r="F58" s="19">
        <v>0.22</v>
      </c>
      <c r="G58" s="7" t="str">
        <f t="shared" si="4"/>
        <v>Medium discount</v>
      </c>
      <c r="J58" s="3" t="str">
        <f t="shared" si="5"/>
        <v>Not provided</v>
      </c>
    </row>
    <row r="59" spans="1:10" x14ac:dyDescent="0.35">
      <c r="A59" s="3" t="s">
        <v>55</v>
      </c>
      <c r="B59" s="5">
        <v>1459</v>
      </c>
      <c r="C59" s="5">
        <v>1499</v>
      </c>
      <c r="D59" s="5" t="str">
        <f t="shared" si="3"/>
        <v>Value</v>
      </c>
      <c r="E59" s="5">
        <f>Table22[[#This Row],[Old price]]-Table22[[#This Row],[Current price]]</f>
        <v>40</v>
      </c>
      <c r="F59" s="19">
        <v>0.03</v>
      </c>
      <c r="G59" s="7" t="str">
        <f t="shared" si="4"/>
        <v>Low discount</v>
      </c>
      <c r="J59" s="3" t="str">
        <f t="shared" si="5"/>
        <v>Not provided</v>
      </c>
    </row>
    <row r="60" spans="1:10" x14ac:dyDescent="0.35">
      <c r="A60" s="3" t="s">
        <v>56</v>
      </c>
      <c r="B60" s="5">
        <v>799</v>
      </c>
      <c r="C60" s="5">
        <v>1343</v>
      </c>
      <c r="D60" s="5" t="str">
        <f t="shared" si="3"/>
        <v>Budget friendly</v>
      </c>
      <c r="E60" s="5">
        <f>Table22[[#This Row],[Old price]]-Table22[[#This Row],[Current price]]</f>
        <v>544</v>
      </c>
      <c r="F60" s="19">
        <v>0.41</v>
      </c>
      <c r="G60" s="7" t="str">
        <f t="shared" si="4"/>
        <v>High discount</v>
      </c>
      <c r="J60" s="3" t="str">
        <f t="shared" si="5"/>
        <v>Not provided</v>
      </c>
    </row>
    <row r="61" spans="1:10" x14ac:dyDescent="0.35">
      <c r="A61" s="3" t="s">
        <v>57</v>
      </c>
      <c r="B61" s="5">
        <v>499</v>
      </c>
      <c r="C61" s="5">
        <v>900</v>
      </c>
      <c r="D61" s="5" t="str">
        <f t="shared" si="3"/>
        <v>Budget friendly</v>
      </c>
      <c r="E61" s="5">
        <f>Table22[[#This Row],[Old price]]-Table22[[#This Row],[Current price]]</f>
        <v>401</v>
      </c>
      <c r="F61" s="19">
        <v>0.45</v>
      </c>
      <c r="G61" s="7" t="str">
        <f t="shared" si="4"/>
        <v>High discount</v>
      </c>
      <c r="J61" s="3" t="str">
        <f t="shared" si="5"/>
        <v>Not provided</v>
      </c>
    </row>
    <row r="62" spans="1:10" x14ac:dyDescent="0.35">
      <c r="A62" s="3" t="s">
        <v>58</v>
      </c>
      <c r="B62" s="5">
        <v>699</v>
      </c>
      <c r="C62" s="5">
        <v>1343</v>
      </c>
      <c r="D62" s="5" t="str">
        <f t="shared" si="3"/>
        <v>Budget friendly</v>
      </c>
      <c r="E62" s="5">
        <f>Table22[[#This Row],[Old price]]-Table22[[#This Row],[Current price]]</f>
        <v>644</v>
      </c>
      <c r="F62" s="19">
        <v>0.48</v>
      </c>
      <c r="G62" s="7" t="str">
        <f t="shared" si="4"/>
        <v>High discount</v>
      </c>
      <c r="J62" s="3" t="str">
        <f t="shared" si="5"/>
        <v>Not provided</v>
      </c>
    </row>
    <row r="63" spans="1:10" x14ac:dyDescent="0.35">
      <c r="A63" s="3" t="s">
        <v>59</v>
      </c>
      <c r="B63" s="5">
        <v>799</v>
      </c>
      <c r="C63" s="5">
        <v>1567</v>
      </c>
      <c r="D63" s="5" t="str">
        <f t="shared" si="3"/>
        <v>Budget friendly</v>
      </c>
      <c r="E63" s="5">
        <f>Table22[[#This Row],[Old price]]-Table22[[#This Row],[Current price]]</f>
        <v>768</v>
      </c>
      <c r="F63" s="19">
        <v>0.49</v>
      </c>
      <c r="G63" s="7" t="str">
        <f t="shared" si="4"/>
        <v>High discount</v>
      </c>
      <c r="J63" s="3" t="str">
        <f t="shared" si="5"/>
        <v>Not provided</v>
      </c>
    </row>
    <row r="64" spans="1:10" x14ac:dyDescent="0.35">
      <c r="A64" s="3" t="s">
        <v>60</v>
      </c>
      <c r="B64" s="5">
        <v>2799</v>
      </c>
      <c r="C64" s="5">
        <v>3810</v>
      </c>
      <c r="D64" s="5" t="str">
        <f t="shared" si="3"/>
        <v>Premium</v>
      </c>
      <c r="E64" s="5">
        <f>Table22[[#This Row],[Old price]]-Table22[[#This Row],[Current price]]</f>
        <v>1011</v>
      </c>
      <c r="F64" s="19">
        <v>0.27</v>
      </c>
      <c r="G64" s="7" t="str">
        <f t="shared" si="4"/>
        <v>Medium discount</v>
      </c>
      <c r="J64" s="3" t="str">
        <f t="shared" si="5"/>
        <v>Not provided</v>
      </c>
    </row>
    <row r="65" spans="1:10" x14ac:dyDescent="0.35">
      <c r="A65" s="3" t="s">
        <v>57</v>
      </c>
      <c r="B65" s="5">
        <v>399</v>
      </c>
      <c r="C65" s="5">
        <v>896</v>
      </c>
      <c r="D65" s="5" t="str">
        <f t="shared" si="3"/>
        <v>Budget friendly</v>
      </c>
      <c r="E65" s="5">
        <f>Table22[[#This Row],[Old price]]-Table22[[#This Row],[Current price]]</f>
        <v>497</v>
      </c>
      <c r="F65" s="19">
        <v>0.55000000000000004</v>
      </c>
      <c r="G65" s="7" t="str">
        <f t="shared" si="4"/>
        <v>High discount</v>
      </c>
      <c r="J65" s="3" t="str">
        <f t="shared" si="5"/>
        <v>Not provided</v>
      </c>
    </row>
    <row r="66" spans="1:10" x14ac:dyDescent="0.35">
      <c r="A66" s="3" t="s">
        <v>61</v>
      </c>
      <c r="B66" s="5">
        <v>2170</v>
      </c>
      <c r="C66" s="5">
        <v>2500</v>
      </c>
      <c r="D66" s="5" t="str">
        <f t="shared" si="3"/>
        <v>Value</v>
      </c>
      <c r="E66" s="5">
        <f>Table22[[#This Row],[Old price]]-Table22[[#This Row],[Current price]]</f>
        <v>330</v>
      </c>
      <c r="F66" s="19">
        <v>0.13</v>
      </c>
      <c r="G66" s="7" t="str">
        <f t="shared" si="4"/>
        <v>Low discount</v>
      </c>
      <c r="H66" s="9">
        <v>6</v>
      </c>
      <c r="I66" s="11">
        <v>2.5</v>
      </c>
      <c r="J66" s="3" t="str">
        <f t="shared" si="5"/>
        <v>Poor</v>
      </c>
    </row>
    <row r="67" spans="1:10" x14ac:dyDescent="0.35">
      <c r="A67" s="3" t="s">
        <v>62</v>
      </c>
      <c r="B67" s="5">
        <v>458</v>
      </c>
      <c r="C67" s="5">
        <v>986</v>
      </c>
      <c r="D67" s="5" t="str">
        <f t="shared" si="3"/>
        <v>Budget friendly</v>
      </c>
      <c r="E67" s="5">
        <f>Table22[[#This Row],[Old price]]-Table22[[#This Row],[Current price]]</f>
        <v>528</v>
      </c>
      <c r="F67" s="19">
        <v>0.54</v>
      </c>
      <c r="G67" s="7" t="str">
        <f t="shared" si="4"/>
        <v>High discount</v>
      </c>
      <c r="H67" s="9">
        <v>10</v>
      </c>
      <c r="I67" s="11">
        <v>3</v>
      </c>
      <c r="J67" s="3" t="str">
        <f t="shared" si="5"/>
        <v>Average</v>
      </c>
    </row>
    <row r="68" spans="1:10" x14ac:dyDescent="0.35">
      <c r="A68" s="3" t="s">
        <v>63</v>
      </c>
      <c r="B68" s="5">
        <v>2115</v>
      </c>
      <c r="C68" s="5">
        <v>4700</v>
      </c>
      <c r="D68" s="5" t="str">
        <f t="shared" si="3"/>
        <v>Value</v>
      </c>
      <c r="E68" s="5">
        <f>Table22[[#This Row],[Old price]]-Table22[[#This Row],[Current price]]</f>
        <v>2585</v>
      </c>
      <c r="F68" s="19">
        <v>0.55000000000000004</v>
      </c>
      <c r="G68" s="7" t="str">
        <f t="shared" si="4"/>
        <v>High discount</v>
      </c>
      <c r="H68" s="9">
        <v>13</v>
      </c>
      <c r="I68" s="11">
        <v>2.1</v>
      </c>
      <c r="J68" s="3" t="str">
        <f t="shared" si="5"/>
        <v>Poor</v>
      </c>
    </row>
    <row r="69" spans="1:10" x14ac:dyDescent="0.35">
      <c r="A69" s="3" t="s">
        <v>64</v>
      </c>
      <c r="B69" s="5">
        <v>445</v>
      </c>
      <c r="C69" s="5">
        <v>873</v>
      </c>
      <c r="D69" s="5" t="str">
        <f t="shared" si="3"/>
        <v>Budget friendly</v>
      </c>
      <c r="E69" s="5">
        <f>Table22[[#This Row],[Old price]]-Table22[[#This Row],[Current price]]</f>
        <v>428</v>
      </c>
      <c r="F69" s="19">
        <v>0.49</v>
      </c>
      <c r="G69" s="7" t="str">
        <f t="shared" si="4"/>
        <v>High discount</v>
      </c>
      <c r="H69" s="9">
        <v>69</v>
      </c>
      <c r="I69" s="11">
        <v>2.8</v>
      </c>
      <c r="J69" s="3" t="str">
        <f t="shared" si="5"/>
        <v>Poor</v>
      </c>
    </row>
    <row r="70" spans="1:10" x14ac:dyDescent="0.35">
      <c r="A70" s="3" t="s">
        <v>65</v>
      </c>
      <c r="B70" s="5">
        <v>325</v>
      </c>
      <c r="C70" s="5">
        <v>680</v>
      </c>
      <c r="D70" s="5" t="str">
        <f t="shared" si="3"/>
        <v>Budget friendly</v>
      </c>
      <c r="E70" s="5">
        <f>Table22[[#This Row],[Old price]]-Table22[[#This Row],[Current price]]</f>
        <v>355</v>
      </c>
      <c r="F70" s="19">
        <v>0.52</v>
      </c>
      <c r="G70" s="7" t="str">
        <f t="shared" si="4"/>
        <v>High discount</v>
      </c>
      <c r="H70" s="9">
        <v>15</v>
      </c>
      <c r="I70" s="11">
        <v>2.7</v>
      </c>
      <c r="J70" s="3" t="str">
        <f t="shared" si="5"/>
        <v>Poor</v>
      </c>
    </row>
    <row r="71" spans="1:10" x14ac:dyDescent="0.35">
      <c r="A71" s="3" t="s">
        <v>66</v>
      </c>
      <c r="B71" s="5">
        <v>1220</v>
      </c>
      <c r="C71" s="5">
        <v>1555</v>
      </c>
      <c r="D71" s="5" t="str">
        <f t="shared" ref="D71:D102" si="6">IF(B71&lt;1300,"Budget friendly",IF(B71&gt;2500,"Premium","Value"))</f>
        <v>Budget friendly</v>
      </c>
      <c r="E71" s="5">
        <f>Table22[[#This Row],[Old price]]-Table22[[#This Row],[Current price]]</f>
        <v>335</v>
      </c>
      <c r="F71" s="19">
        <v>0.22</v>
      </c>
      <c r="G71" s="7" t="str">
        <f t="shared" ref="G71:G102" si="7">IF(F71&lt;0.2,"Low discount",IF(F71&gt;0.4,"High discount","Medium discount"))</f>
        <v>Medium discount</v>
      </c>
      <c r="H71" s="9">
        <v>16</v>
      </c>
      <c r="I71" s="11">
        <v>2.9</v>
      </c>
      <c r="J71" s="3" t="str">
        <f t="shared" ref="J71:J102" si="8">IF(ISBLANK(I71),"Not provided",IF(I71&lt;3,"Poor",IF(I71&gt;4.5,"Excellent","Average")))</f>
        <v>Poor</v>
      </c>
    </row>
    <row r="72" spans="1:10" x14ac:dyDescent="0.35">
      <c r="A72" s="3" t="s">
        <v>67</v>
      </c>
      <c r="B72" s="5">
        <v>990</v>
      </c>
      <c r="C72" s="5">
        <v>1814</v>
      </c>
      <c r="D72" s="5" t="str">
        <f t="shared" si="6"/>
        <v>Budget friendly</v>
      </c>
      <c r="E72" s="5">
        <f>Table22[[#This Row],[Old price]]-Table22[[#This Row],[Current price]]</f>
        <v>824</v>
      </c>
      <c r="F72" s="19">
        <v>0.45</v>
      </c>
      <c r="G72" s="7" t="str">
        <f t="shared" si="7"/>
        <v>High discount</v>
      </c>
      <c r="H72" s="9">
        <v>6</v>
      </c>
      <c r="I72" s="11">
        <v>2.2000000000000002</v>
      </c>
      <c r="J72" s="3" t="str">
        <f t="shared" si="8"/>
        <v>Poor</v>
      </c>
    </row>
    <row r="73" spans="1:10" x14ac:dyDescent="0.35">
      <c r="A73" s="3" t="s">
        <v>68</v>
      </c>
      <c r="B73" s="5">
        <v>1000</v>
      </c>
      <c r="C73" s="5">
        <v>2000</v>
      </c>
      <c r="D73" s="5" t="str">
        <f t="shared" si="6"/>
        <v>Budget friendly</v>
      </c>
      <c r="E73" s="5">
        <f>Table22[[#This Row],[Old price]]-Table22[[#This Row],[Current price]]</f>
        <v>1000</v>
      </c>
      <c r="F73" s="19">
        <v>0.5</v>
      </c>
      <c r="G73" s="7" t="str">
        <f t="shared" si="7"/>
        <v>High discount</v>
      </c>
      <c r="H73" s="9">
        <v>7</v>
      </c>
      <c r="I73" s="11">
        <v>2.2999999999999998</v>
      </c>
      <c r="J73" s="3" t="str">
        <f t="shared" si="8"/>
        <v>Poor</v>
      </c>
    </row>
    <row r="74" spans="1:10" x14ac:dyDescent="0.35">
      <c r="A74" s="3" t="s">
        <v>69</v>
      </c>
      <c r="B74" s="5">
        <v>3750</v>
      </c>
      <c r="C74" s="5">
        <v>6143</v>
      </c>
      <c r="D74" s="5" t="str">
        <f t="shared" si="6"/>
        <v>Premium</v>
      </c>
      <c r="E74" s="5">
        <f>Table22[[#This Row],[Old price]]-Table22[[#This Row],[Current price]]</f>
        <v>2393</v>
      </c>
      <c r="F74" s="19">
        <v>0.39</v>
      </c>
      <c r="G74" s="7" t="str">
        <f t="shared" si="7"/>
        <v>Medium discount</v>
      </c>
      <c r="H74" s="9">
        <v>5</v>
      </c>
      <c r="I74" s="11">
        <v>3</v>
      </c>
      <c r="J74" s="3" t="str">
        <f t="shared" si="8"/>
        <v>Average</v>
      </c>
    </row>
    <row r="75" spans="1:10" x14ac:dyDescent="0.35">
      <c r="A75" s="3" t="s">
        <v>70</v>
      </c>
      <c r="B75" s="5">
        <v>382</v>
      </c>
      <c r="C75" s="5">
        <v>700</v>
      </c>
      <c r="D75" s="5" t="str">
        <f t="shared" si="6"/>
        <v>Budget friendly</v>
      </c>
      <c r="E75" s="5">
        <f>Table22[[#This Row],[Old price]]-Table22[[#This Row],[Current price]]</f>
        <v>318</v>
      </c>
      <c r="F75" s="19">
        <v>0.45</v>
      </c>
      <c r="G75" s="7" t="str">
        <f t="shared" si="7"/>
        <v>High discount</v>
      </c>
      <c r="H75" s="9">
        <v>17</v>
      </c>
      <c r="I75" s="11">
        <v>2.6</v>
      </c>
      <c r="J75" s="3" t="str">
        <f t="shared" si="8"/>
        <v>Poor</v>
      </c>
    </row>
    <row r="76" spans="1:10" x14ac:dyDescent="0.35">
      <c r="A76" s="3" t="s">
        <v>71</v>
      </c>
      <c r="B76" s="5">
        <v>2300</v>
      </c>
      <c r="C76" s="5">
        <v>3240</v>
      </c>
      <c r="D76" s="5" t="str">
        <f t="shared" si="6"/>
        <v>Value</v>
      </c>
      <c r="E76" s="5">
        <f>Table22[[#This Row],[Old price]]-Table22[[#This Row],[Current price]]</f>
        <v>940</v>
      </c>
      <c r="F76" s="19">
        <v>0.28999999999999998</v>
      </c>
      <c r="G76" s="7" t="str">
        <f t="shared" si="7"/>
        <v>Medium discount</v>
      </c>
      <c r="H76" s="9">
        <v>5</v>
      </c>
      <c r="I76" s="11">
        <v>3</v>
      </c>
      <c r="J76" s="3" t="str">
        <f t="shared" si="8"/>
        <v>Average</v>
      </c>
    </row>
    <row r="77" spans="1:10" x14ac:dyDescent="0.35">
      <c r="A77" s="3" t="s">
        <v>72</v>
      </c>
      <c r="B77" s="5">
        <v>345</v>
      </c>
      <c r="C77" s="5">
        <v>602</v>
      </c>
      <c r="D77" s="5" t="str">
        <f t="shared" si="6"/>
        <v>Budget friendly</v>
      </c>
      <c r="E77" s="5">
        <f>Table22[[#This Row],[Old price]]-Table22[[#This Row],[Current price]]</f>
        <v>257</v>
      </c>
      <c r="F77" s="19">
        <v>0.43</v>
      </c>
      <c r="G77" s="7" t="str">
        <f t="shared" si="7"/>
        <v>High discount</v>
      </c>
      <c r="H77" s="9">
        <v>6</v>
      </c>
      <c r="I77" s="11">
        <v>2.2999999999999998</v>
      </c>
      <c r="J77" s="3" t="str">
        <f t="shared" si="8"/>
        <v>Poor</v>
      </c>
    </row>
    <row r="78" spans="1:10" x14ac:dyDescent="0.35">
      <c r="A78" s="3" t="s">
        <v>73</v>
      </c>
      <c r="B78" s="5">
        <v>509</v>
      </c>
      <c r="C78" s="5">
        <v>899</v>
      </c>
      <c r="D78" s="5" t="str">
        <f t="shared" si="6"/>
        <v>Budget friendly</v>
      </c>
      <c r="E78" s="5">
        <f>Table22[[#This Row],[Old price]]-Table22[[#This Row],[Current price]]</f>
        <v>390</v>
      </c>
      <c r="F78" s="19">
        <v>0.43</v>
      </c>
      <c r="G78" s="7" t="str">
        <f t="shared" si="7"/>
        <v>High discount</v>
      </c>
      <c r="H78" s="9">
        <v>5</v>
      </c>
      <c r="I78" s="11">
        <v>3</v>
      </c>
      <c r="J78" s="3" t="str">
        <f t="shared" si="8"/>
        <v>Average</v>
      </c>
    </row>
    <row r="79" spans="1:10" x14ac:dyDescent="0.35">
      <c r="A79" s="3" t="s">
        <v>74</v>
      </c>
      <c r="B79" s="5">
        <v>968</v>
      </c>
      <c r="C79" s="5">
        <v>1814</v>
      </c>
      <c r="D79" s="5" t="str">
        <f t="shared" si="6"/>
        <v>Budget friendly</v>
      </c>
      <c r="E79" s="5">
        <f>Table22[[#This Row],[Old price]]-Table22[[#This Row],[Current price]]</f>
        <v>846</v>
      </c>
      <c r="F79" s="19">
        <v>0.47</v>
      </c>
      <c r="G79" s="7" t="str">
        <f t="shared" si="7"/>
        <v>High discount</v>
      </c>
      <c r="H79" s="9">
        <v>6</v>
      </c>
      <c r="I79" s="11">
        <v>2.2000000000000002</v>
      </c>
      <c r="J79" s="3" t="str">
        <f t="shared" si="8"/>
        <v>Poor</v>
      </c>
    </row>
    <row r="80" spans="1:10" x14ac:dyDescent="0.35">
      <c r="A80" s="3" t="s">
        <v>75</v>
      </c>
      <c r="B80" s="5">
        <v>1570</v>
      </c>
      <c r="C80" s="5">
        <v>2988</v>
      </c>
      <c r="D80" s="5" t="str">
        <f t="shared" si="6"/>
        <v>Value</v>
      </c>
      <c r="E80" s="5">
        <f>Table22[[#This Row],[Old price]]-Table22[[#This Row],[Current price]]</f>
        <v>1418</v>
      </c>
      <c r="F80" s="19">
        <v>0.47</v>
      </c>
      <c r="G80" s="7" t="str">
        <f t="shared" si="7"/>
        <v>High discount</v>
      </c>
      <c r="H80" s="9">
        <v>7</v>
      </c>
      <c r="I80" s="11">
        <v>2.1</v>
      </c>
      <c r="J80" s="3" t="str">
        <f t="shared" si="8"/>
        <v>Poor</v>
      </c>
    </row>
    <row r="81" spans="1:10" x14ac:dyDescent="0.35">
      <c r="A81" s="3" t="s">
        <v>76</v>
      </c>
      <c r="B81" s="5">
        <v>790</v>
      </c>
      <c r="C81" s="5">
        <v>1485</v>
      </c>
      <c r="D81" s="5" t="str">
        <f t="shared" si="6"/>
        <v>Budget friendly</v>
      </c>
      <c r="E81" s="5">
        <f>Table22[[#This Row],[Old price]]-Table22[[#This Row],[Current price]]</f>
        <v>695</v>
      </c>
      <c r="F81" s="19">
        <v>0.47</v>
      </c>
      <c r="G81" s="7" t="str">
        <f t="shared" si="7"/>
        <v>High discount</v>
      </c>
      <c r="J81" s="3" t="str">
        <f t="shared" si="8"/>
        <v>Not provided</v>
      </c>
    </row>
    <row r="82" spans="1:10" x14ac:dyDescent="0.35">
      <c r="A82" s="3" t="s">
        <v>77</v>
      </c>
      <c r="B82" s="5">
        <v>690</v>
      </c>
      <c r="C82" s="5">
        <v>1200</v>
      </c>
      <c r="D82" s="5" t="str">
        <f t="shared" si="6"/>
        <v>Budget friendly</v>
      </c>
      <c r="E82" s="5">
        <f>Table22[[#This Row],[Old price]]-Table22[[#This Row],[Current price]]</f>
        <v>510</v>
      </c>
      <c r="F82" s="19">
        <v>0.43</v>
      </c>
      <c r="G82" s="7" t="str">
        <f t="shared" si="7"/>
        <v>High discount</v>
      </c>
      <c r="J82" s="3" t="str">
        <f t="shared" si="8"/>
        <v>Not provided</v>
      </c>
    </row>
    <row r="83" spans="1:10" x14ac:dyDescent="0.35">
      <c r="A83" s="3" t="s">
        <v>78</v>
      </c>
      <c r="B83" s="5">
        <v>1732</v>
      </c>
      <c r="C83" s="5">
        <v>1799</v>
      </c>
      <c r="D83" s="5" t="str">
        <f t="shared" si="6"/>
        <v>Value</v>
      </c>
      <c r="E83" s="5">
        <f>Table22[[#This Row],[Old price]]-Table22[[#This Row],[Current price]]</f>
        <v>67</v>
      </c>
      <c r="F83" s="19">
        <v>0.04</v>
      </c>
      <c r="G83" s="7" t="str">
        <f t="shared" si="7"/>
        <v>Low discount</v>
      </c>
      <c r="J83" s="3" t="str">
        <f t="shared" si="8"/>
        <v>Not provided</v>
      </c>
    </row>
    <row r="84" spans="1:10" x14ac:dyDescent="0.35">
      <c r="A84" s="3" t="s">
        <v>79</v>
      </c>
      <c r="B84" s="5">
        <v>230</v>
      </c>
      <c r="C84" s="5">
        <v>450</v>
      </c>
      <c r="D84" s="5" t="str">
        <f t="shared" si="6"/>
        <v>Budget friendly</v>
      </c>
      <c r="E84" s="5">
        <f>Table22[[#This Row],[Old price]]-Table22[[#This Row],[Current price]]</f>
        <v>220</v>
      </c>
      <c r="F84" s="19">
        <v>0.49</v>
      </c>
      <c r="G84" s="7" t="str">
        <f t="shared" si="7"/>
        <v>High discount</v>
      </c>
      <c r="J84" s="3" t="str">
        <f t="shared" si="8"/>
        <v>Not provided</v>
      </c>
    </row>
    <row r="85" spans="1:10" x14ac:dyDescent="0.35">
      <c r="A85" s="3" t="s">
        <v>80</v>
      </c>
      <c r="B85" s="5">
        <v>1189</v>
      </c>
      <c r="C85" s="5">
        <v>2199</v>
      </c>
      <c r="D85" s="5" t="str">
        <f t="shared" si="6"/>
        <v>Budget friendly</v>
      </c>
      <c r="E85" s="5">
        <f>Table22[[#This Row],[Old price]]-Table22[[#This Row],[Current price]]</f>
        <v>1010</v>
      </c>
      <c r="F85" s="19">
        <v>0.46</v>
      </c>
      <c r="G85" s="7" t="str">
        <f t="shared" si="7"/>
        <v>High discount</v>
      </c>
      <c r="H85" s="9">
        <v>1</v>
      </c>
      <c r="I85" s="11">
        <v>3</v>
      </c>
      <c r="J85" s="3" t="str">
        <f t="shared" si="8"/>
        <v>Average</v>
      </c>
    </row>
    <row r="86" spans="1:10" x14ac:dyDescent="0.35">
      <c r="A86" s="3" t="s">
        <v>81</v>
      </c>
      <c r="B86" s="5">
        <v>979</v>
      </c>
      <c r="C86" s="5">
        <v>1920</v>
      </c>
      <c r="D86" s="5" t="str">
        <f t="shared" si="6"/>
        <v>Budget friendly</v>
      </c>
      <c r="E86" s="5">
        <f>Table22[[#This Row],[Old price]]-Table22[[#This Row],[Current price]]</f>
        <v>941</v>
      </c>
      <c r="F86" s="19">
        <v>0.49</v>
      </c>
      <c r="G86" s="7" t="str">
        <f t="shared" si="7"/>
        <v>High discount</v>
      </c>
      <c r="H86" s="9">
        <v>1</v>
      </c>
      <c r="I86" s="11">
        <v>5</v>
      </c>
      <c r="J86" s="3" t="str">
        <f t="shared" si="8"/>
        <v>Excellent</v>
      </c>
    </row>
    <row r="87" spans="1:10" x14ac:dyDescent="0.35">
      <c r="A87" s="3" t="s">
        <v>82</v>
      </c>
      <c r="B87" s="5">
        <v>1460</v>
      </c>
      <c r="C87" s="5">
        <v>2290</v>
      </c>
      <c r="D87" s="5" t="str">
        <f t="shared" si="6"/>
        <v>Value</v>
      </c>
      <c r="E87" s="5">
        <f>Table22[[#This Row],[Old price]]-Table22[[#This Row],[Current price]]</f>
        <v>830</v>
      </c>
      <c r="F87" s="19">
        <v>0.36</v>
      </c>
      <c r="G87" s="7" t="str">
        <f t="shared" si="7"/>
        <v>Medium discount</v>
      </c>
      <c r="J87" s="3" t="str">
        <f t="shared" si="8"/>
        <v>Not provided</v>
      </c>
    </row>
    <row r="88" spans="1:10" x14ac:dyDescent="0.35">
      <c r="A88" s="3" t="s">
        <v>83</v>
      </c>
      <c r="B88" s="5">
        <v>1666</v>
      </c>
      <c r="C88" s="5">
        <v>1699</v>
      </c>
      <c r="D88" s="5" t="str">
        <f t="shared" si="6"/>
        <v>Value</v>
      </c>
      <c r="E88" s="5">
        <f>Table22[[#This Row],[Old price]]-Table22[[#This Row],[Current price]]</f>
        <v>33</v>
      </c>
      <c r="F88" s="19">
        <v>0.02</v>
      </c>
      <c r="G88" s="7" t="str">
        <f t="shared" si="7"/>
        <v>Low discount</v>
      </c>
      <c r="J88" s="3" t="str">
        <f t="shared" si="8"/>
        <v>Not provided</v>
      </c>
    </row>
    <row r="89" spans="1:10" x14ac:dyDescent="0.35">
      <c r="A89" s="3" t="s">
        <v>84</v>
      </c>
      <c r="B89" s="5">
        <v>330</v>
      </c>
      <c r="C89" s="5">
        <v>647</v>
      </c>
      <c r="D89" s="5" t="str">
        <f t="shared" si="6"/>
        <v>Budget friendly</v>
      </c>
      <c r="E89" s="5">
        <f>Table22[[#This Row],[Old price]]-Table22[[#This Row],[Current price]]</f>
        <v>317</v>
      </c>
      <c r="F89" s="19">
        <v>0.49</v>
      </c>
      <c r="G89" s="7" t="str">
        <f t="shared" si="7"/>
        <v>High discount</v>
      </c>
      <c r="H89" s="9">
        <v>1</v>
      </c>
      <c r="I89" s="11">
        <v>4</v>
      </c>
      <c r="J89" s="3" t="str">
        <f t="shared" si="8"/>
        <v>Average</v>
      </c>
    </row>
    <row r="90" spans="1:10" x14ac:dyDescent="0.35">
      <c r="A90" s="3" t="s">
        <v>51</v>
      </c>
      <c r="B90" s="5">
        <v>176</v>
      </c>
      <c r="C90" s="5">
        <v>345</v>
      </c>
      <c r="D90" s="5" t="str">
        <f t="shared" si="6"/>
        <v>Budget friendly</v>
      </c>
      <c r="E90" s="5">
        <f>Table22[[#This Row],[Old price]]-Table22[[#This Row],[Current price]]</f>
        <v>169</v>
      </c>
      <c r="F90" s="19">
        <v>0.49</v>
      </c>
      <c r="G90" s="7" t="str">
        <f t="shared" si="7"/>
        <v>High discount</v>
      </c>
      <c r="J90" s="3" t="str">
        <f t="shared" si="8"/>
        <v>Not provided</v>
      </c>
    </row>
    <row r="91" spans="1:10" x14ac:dyDescent="0.35">
      <c r="A91" s="3" t="s">
        <v>85</v>
      </c>
      <c r="B91" s="5">
        <v>1466</v>
      </c>
      <c r="C91" s="5">
        <v>1699</v>
      </c>
      <c r="D91" s="5" t="str">
        <f t="shared" si="6"/>
        <v>Value</v>
      </c>
      <c r="E91" s="5">
        <f>Table22[[#This Row],[Old price]]-Table22[[#This Row],[Current price]]</f>
        <v>233</v>
      </c>
      <c r="F91" s="19">
        <v>0.14000000000000001</v>
      </c>
      <c r="G91" s="7" t="str">
        <f t="shared" si="7"/>
        <v>Low discount</v>
      </c>
      <c r="J91" s="3" t="str">
        <f t="shared" si="8"/>
        <v>Not provided</v>
      </c>
    </row>
    <row r="92" spans="1:10" x14ac:dyDescent="0.35">
      <c r="A92" s="3" t="s">
        <v>86</v>
      </c>
      <c r="B92" s="5">
        <v>274</v>
      </c>
      <c r="C92" s="5">
        <v>537</v>
      </c>
      <c r="D92" s="5" t="str">
        <f t="shared" si="6"/>
        <v>Budget friendly</v>
      </c>
      <c r="E92" s="5">
        <f>Table22[[#This Row],[Old price]]-Table22[[#This Row],[Current price]]</f>
        <v>263</v>
      </c>
      <c r="F92" s="19">
        <v>0.49</v>
      </c>
      <c r="G92" s="7" t="str">
        <f t="shared" si="7"/>
        <v>High discount</v>
      </c>
      <c r="J92" s="3" t="str">
        <f t="shared" si="8"/>
        <v>Not provided</v>
      </c>
    </row>
    <row r="93" spans="1:10" x14ac:dyDescent="0.35">
      <c r="A93" s="3" t="s">
        <v>87</v>
      </c>
      <c r="B93" s="5">
        <v>799</v>
      </c>
      <c r="C93" s="5">
        <v>900</v>
      </c>
      <c r="D93" s="5" t="str">
        <f t="shared" si="6"/>
        <v>Budget friendly</v>
      </c>
      <c r="E93" s="5">
        <f>Table22[[#This Row],[Old price]]-Table22[[#This Row],[Current price]]</f>
        <v>101</v>
      </c>
      <c r="F93" s="19">
        <v>0.11</v>
      </c>
      <c r="G93" s="7" t="str">
        <f t="shared" si="7"/>
        <v>Low discount</v>
      </c>
      <c r="J93" s="3" t="str">
        <f t="shared" si="8"/>
        <v>Not provided</v>
      </c>
    </row>
    <row r="94" spans="1:10" x14ac:dyDescent="0.35">
      <c r="A94" s="3" t="s">
        <v>59</v>
      </c>
      <c r="B94" s="5">
        <v>657</v>
      </c>
      <c r="C94" s="5">
        <v>1288</v>
      </c>
      <c r="D94" s="5" t="str">
        <f t="shared" si="6"/>
        <v>Budget friendly</v>
      </c>
      <c r="E94" s="5">
        <f>Table22[[#This Row],[Old price]]-Table22[[#This Row],[Current price]]</f>
        <v>631</v>
      </c>
      <c r="F94" s="19">
        <v>0.49</v>
      </c>
      <c r="G94" s="7" t="str">
        <f t="shared" si="7"/>
        <v>High discount</v>
      </c>
      <c r="J94" s="3" t="str">
        <f t="shared" si="8"/>
        <v>Not provided</v>
      </c>
    </row>
    <row r="95" spans="1:10" x14ac:dyDescent="0.35">
      <c r="A95" s="3" t="s">
        <v>88</v>
      </c>
      <c r="B95" s="5">
        <v>1468</v>
      </c>
      <c r="C95" s="5">
        <v>1699</v>
      </c>
      <c r="D95" s="5" t="str">
        <f t="shared" si="6"/>
        <v>Value</v>
      </c>
      <c r="E95" s="5">
        <f>Table22[[#This Row],[Old price]]-Table22[[#This Row],[Current price]]</f>
        <v>231</v>
      </c>
      <c r="F95" s="19">
        <v>0.14000000000000001</v>
      </c>
      <c r="G95" s="7" t="str">
        <f t="shared" si="7"/>
        <v>Low discount</v>
      </c>
      <c r="J95" s="3" t="str">
        <f t="shared" si="8"/>
        <v>Not provided</v>
      </c>
    </row>
    <row r="96" spans="1:10" x14ac:dyDescent="0.35">
      <c r="A96" s="3" t="s">
        <v>89</v>
      </c>
      <c r="B96" s="5">
        <v>630</v>
      </c>
      <c r="C96" s="5">
        <v>1100</v>
      </c>
      <c r="D96" s="5" t="str">
        <f t="shared" si="6"/>
        <v>Budget friendly</v>
      </c>
      <c r="E96" s="5">
        <f>Table22[[#This Row],[Old price]]-Table22[[#This Row],[Current price]]</f>
        <v>470</v>
      </c>
      <c r="F96" s="19">
        <v>0.43</v>
      </c>
      <c r="G96" s="7" t="str">
        <f t="shared" si="7"/>
        <v>High discount</v>
      </c>
      <c r="J96" s="3" t="str">
        <f t="shared" si="8"/>
        <v>Not provided</v>
      </c>
    </row>
    <row r="97" spans="1:10" x14ac:dyDescent="0.35">
      <c r="A97" s="3" t="s">
        <v>90</v>
      </c>
      <c r="B97" s="5">
        <v>850</v>
      </c>
      <c r="C97" s="5">
        <v>1700</v>
      </c>
      <c r="D97" s="5" t="str">
        <f t="shared" si="6"/>
        <v>Budget friendly</v>
      </c>
      <c r="E97" s="5">
        <f>Table22[[#This Row],[Old price]]-Table22[[#This Row],[Current price]]</f>
        <v>850</v>
      </c>
      <c r="F97" s="19">
        <v>0.5</v>
      </c>
      <c r="G97" s="7" t="str">
        <f t="shared" si="7"/>
        <v>High discount</v>
      </c>
      <c r="J97" s="3" t="str">
        <f t="shared" si="8"/>
        <v>Not provided</v>
      </c>
    </row>
    <row r="98" spans="1:10" x14ac:dyDescent="0.35">
      <c r="A98" s="3" t="s">
        <v>91</v>
      </c>
      <c r="B98" s="5">
        <v>1300</v>
      </c>
      <c r="C98" s="5">
        <v>2500</v>
      </c>
      <c r="D98" s="5" t="str">
        <f t="shared" si="6"/>
        <v>Value</v>
      </c>
      <c r="E98" s="5">
        <f>Table22[[#This Row],[Old price]]-Table22[[#This Row],[Current price]]</f>
        <v>1200</v>
      </c>
      <c r="F98" s="19">
        <v>0.48</v>
      </c>
      <c r="G98" s="7" t="str">
        <f t="shared" si="7"/>
        <v>High discount</v>
      </c>
      <c r="J98" s="3" t="str">
        <f t="shared" si="8"/>
        <v>Not provided</v>
      </c>
    </row>
    <row r="99" spans="1:10" x14ac:dyDescent="0.35">
      <c r="A99" s="3" t="s">
        <v>92</v>
      </c>
      <c r="B99" s="5">
        <v>105</v>
      </c>
      <c r="C99" s="5">
        <v>200</v>
      </c>
      <c r="D99" s="5" t="str">
        <f t="shared" si="6"/>
        <v>Budget friendly</v>
      </c>
      <c r="E99" s="5">
        <f>Table22[[#This Row],[Old price]]-Table22[[#This Row],[Current price]]</f>
        <v>95</v>
      </c>
      <c r="F99" s="19">
        <v>0.48</v>
      </c>
      <c r="G99" s="7" t="str">
        <f t="shared" si="7"/>
        <v>High discount</v>
      </c>
      <c r="J99" s="3" t="str">
        <f t="shared" si="8"/>
        <v>Not provided</v>
      </c>
    </row>
    <row r="100" spans="1:10" x14ac:dyDescent="0.35">
      <c r="A100" s="3" t="s">
        <v>93</v>
      </c>
      <c r="B100" s="5">
        <v>899</v>
      </c>
      <c r="C100" s="5">
        <v>1699</v>
      </c>
      <c r="D100" s="5" t="str">
        <f t="shared" si="6"/>
        <v>Budget friendly</v>
      </c>
      <c r="E100" s="5">
        <f>Table22[[#This Row],[Old price]]-Table22[[#This Row],[Current price]]</f>
        <v>800</v>
      </c>
      <c r="F100" s="19">
        <v>0.47</v>
      </c>
      <c r="G100" s="7" t="str">
        <f t="shared" si="7"/>
        <v>High discount</v>
      </c>
      <c r="J100" s="3" t="str">
        <f t="shared" si="8"/>
        <v>Not provided</v>
      </c>
    </row>
    <row r="101" spans="1:10" x14ac:dyDescent="0.35">
      <c r="A101" s="3" t="s">
        <v>94</v>
      </c>
      <c r="B101" s="5">
        <v>1200</v>
      </c>
      <c r="C101" s="5">
        <v>2400</v>
      </c>
      <c r="D101" s="5" t="str">
        <f t="shared" si="6"/>
        <v>Budget friendly</v>
      </c>
      <c r="E101" s="5">
        <f>Table22[[#This Row],[Old price]]-Table22[[#This Row],[Current price]]</f>
        <v>1200</v>
      </c>
      <c r="F101" s="19">
        <v>0.5</v>
      </c>
      <c r="G101" s="7" t="str">
        <f t="shared" si="7"/>
        <v>High discount</v>
      </c>
      <c r="J101" s="3" t="str">
        <f t="shared" si="8"/>
        <v>Not provided</v>
      </c>
    </row>
    <row r="102" spans="1:10" x14ac:dyDescent="0.35">
      <c r="A102" s="3" t="s">
        <v>95</v>
      </c>
      <c r="B102" s="5">
        <v>1526</v>
      </c>
      <c r="C102" s="5">
        <v>1660</v>
      </c>
      <c r="D102" s="5" t="str">
        <f t="shared" si="6"/>
        <v>Value</v>
      </c>
      <c r="E102" s="5">
        <f>Table22[[#This Row],[Old price]]-Table22[[#This Row],[Current price]]</f>
        <v>134</v>
      </c>
      <c r="F102" s="19">
        <v>0.08</v>
      </c>
      <c r="G102" s="7" t="str">
        <f t="shared" si="7"/>
        <v>Low discount</v>
      </c>
      <c r="J102" s="3" t="str">
        <f t="shared" si="8"/>
        <v>Not provided</v>
      </c>
    </row>
    <row r="103" spans="1:10" x14ac:dyDescent="0.35">
      <c r="A103" s="3" t="s">
        <v>96</v>
      </c>
      <c r="B103" s="5">
        <v>1462</v>
      </c>
      <c r="C103" s="5">
        <v>1499</v>
      </c>
      <c r="D103" s="5" t="str">
        <f t="shared" ref="D103:D118" si="9">IF(B103&lt;1300,"Budget friendly",IF(B103&gt;2500,"Premium","Value"))</f>
        <v>Value</v>
      </c>
      <c r="E103" s="5">
        <f>Table22[[#This Row],[Old price]]-Table22[[#This Row],[Current price]]</f>
        <v>37</v>
      </c>
      <c r="F103" s="19">
        <v>0.02</v>
      </c>
      <c r="G103" s="7" t="str">
        <f t="shared" ref="G103:G118" si="10">IF(F103&lt;0.2,"Low discount",IF(F103&gt;0.4,"High discount","Medium discount"))</f>
        <v>Low discount</v>
      </c>
      <c r="J103" s="3" t="str">
        <f t="shared" ref="J103:J118" si="11">IF(ISBLANK(I103),"Not provided",IF(I103&lt;3,"Poor",IF(I103&gt;4.5,"Excellent","Average")))</f>
        <v>Not provided</v>
      </c>
    </row>
    <row r="104" spans="1:10" x14ac:dyDescent="0.35">
      <c r="A104" s="3" t="s">
        <v>97</v>
      </c>
      <c r="B104" s="5">
        <v>248</v>
      </c>
      <c r="C104" s="5">
        <v>486</v>
      </c>
      <c r="D104" s="5" t="str">
        <f t="shared" si="9"/>
        <v>Budget friendly</v>
      </c>
      <c r="E104" s="5">
        <f>Table22[[#This Row],[Old price]]-Table22[[#This Row],[Current price]]</f>
        <v>238</v>
      </c>
      <c r="F104" s="19">
        <v>0.49</v>
      </c>
      <c r="G104" s="7" t="str">
        <f t="shared" si="10"/>
        <v>High discount</v>
      </c>
      <c r="J104" s="3" t="str">
        <f t="shared" si="11"/>
        <v>Not provided</v>
      </c>
    </row>
    <row r="105" spans="1:10" x14ac:dyDescent="0.35">
      <c r="A105" s="3" t="s">
        <v>98</v>
      </c>
      <c r="B105" s="5">
        <v>3546</v>
      </c>
      <c r="C105" s="5">
        <v>3699</v>
      </c>
      <c r="D105" s="5" t="str">
        <f t="shared" si="9"/>
        <v>Premium</v>
      </c>
      <c r="E105" s="5">
        <f>Table22[[#This Row],[Old price]]-Table22[[#This Row],[Current price]]</f>
        <v>153</v>
      </c>
      <c r="F105" s="19">
        <v>0.04</v>
      </c>
      <c r="G105" s="7" t="str">
        <f t="shared" si="10"/>
        <v>Low discount</v>
      </c>
      <c r="J105" s="3" t="str">
        <f t="shared" si="11"/>
        <v>Not provided</v>
      </c>
    </row>
    <row r="106" spans="1:10" x14ac:dyDescent="0.35">
      <c r="A106" s="3" t="s">
        <v>99</v>
      </c>
      <c r="B106" s="5">
        <v>525</v>
      </c>
      <c r="C106" s="5">
        <v>1029</v>
      </c>
      <c r="D106" s="5" t="str">
        <f t="shared" si="9"/>
        <v>Budget friendly</v>
      </c>
      <c r="E106" s="5">
        <f>Table22[[#This Row],[Old price]]-Table22[[#This Row],[Current price]]</f>
        <v>504</v>
      </c>
      <c r="F106" s="19">
        <v>0.49</v>
      </c>
      <c r="G106" s="7" t="str">
        <f t="shared" si="10"/>
        <v>High discount</v>
      </c>
      <c r="J106" s="3" t="str">
        <f t="shared" si="11"/>
        <v>Not provided</v>
      </c>
    </row>
    <row r="107" spans="1:10" x14ac:dyDescent="0.35">
      <c r="A107" s="3" t="s">
        <v>100</v>
      </c>
      <c r="B107" s="5">
        <v>1080</v>
      </c>
      <c r="C107" s="5">
        <v>1874</v>
      </c>
      <c r="D107" s="5" t="str">
        <f t="shared" si="9"/>
        <v>Budget friendly</v>
      </c>
      <c r="E107" s="5">
        <f>Table22[[#This Row],[Old price]]-Table22[[#This Row],[Current price]]</f>
        <v>794</v>
      </c>
      <c r="F107" s="19">
        <v>0.42</v>
      </c>
      <c r="G107" s="7" t="str">
        <f t="shared" si="10"/>
        <v>High discount</v>
      </c>
      <c r="J107" s="3" t="str">
        <f t="shared" si="11"/>
        <v>Not provided</v>
      </c>
    </row>
    <row r="108" spans="1:10" x14ac:dyDescent="0.35">
      <c r="A108" s="3" t="s">
        <v>101</v>
      </c>
      <c r="B108" s="5">
        <v>3640</v>
      </c>
      <c r="C108" s="5">
        <v>4588</v>
      </c>
      <c r="D108" s="5" t="str">
        <f t="shared" si="9"/>
        <v>Premium</v>
      </c>
      <c r="E108" s="5">
        <f>Table22[[#This Row],[Old price]]-Table22[[#This Row],[Current price]]</f>
        <v>948</v>
      </c>
      <c r="F108" s="19">
        <v>0.21</v>
      </c>
      <c r="G108" s="7" t="str">
        <f t="shared" si="10"/>
        <v>Medium discount</v>
      </c>
      <c r="H108" s="9">
        <v>1</v>
      </c>
      <c r="I108" s="11">
        <v>5</v>
      </c>
      <c r="J108" s="3" t="str">
        <f t="shared" si="11"/>
        <v>Excellent</v>
      </c>
    </row>
    <row r="109" spans="1:10" x14ac:dyDescent="0.35">
      <c r="A109" s="3" t="s">
        <v>102</v>
      </c>
      <c r="B109" s="5">
        <v>1420</v>
      </c>
      <c r="C109" s="5">
        <v>2420</v>
      </c>
      <c r="D109" s="5" t="str">
        <f t="shared" si="9"/>
        <v>Value</v>
      </c>
      <c r="E109" s="5">
        <f>Table22[[#This Row],[Old price]]-Table22[[#This Row],[Current price]]</f>
        <v>1000</v>
      </c>
      <c r="F109" s="19">
        <v>0.41</v>
      </c>
      <c r="G109" s="7" t="str">
        <f t="shared" si="10"/>
        <v>High discount</v>
      </c>
      <c r="J109" s="3" t="str">
        <f t="shared" si="11"/>
        <v>Not provided</v>
      </c>
    </row>
    <row r="110" spans="1:10" x14ac:dyDescent="0.35">
      <c r="A110" s="3" t="s">
        <v>103</v>
      </c>
      <c r="B110" s="5">
        <v>1875</v>
      </c>
      <c r="C110" s="5">
        <v>1899</v>
      </c>
      <c r="D110" s="5" t="str">
        <f t="shared" si="9"/>
        <v>Value</v>
      </c>
      <c r="E110" s="5">
        <f>Table22[[#This Row],[Old price]]-Table22[[#This Row],[Current price]]</f>
        <v>24</v>
      </c>
      <c r="F110" s="19">
        <v>0.01</v>
      </c>
      <c r="G110" s="7" t="str">
        <f t="shared" si="10"/>
        <v>Low discount</v>
      </c>
      <c r="J110" s="3" t="str">
        <f t="shared" si="11"/>
        <v>Not provided</v>
      </c>
    </row>
    <row r="111" spans="1:10" x14ac:dyDescent="0.35">
      <c r="A111" s="3" t="s">
        <v>104</v>
      </c>
      <c r="B111" s="5">
        <v>198</v>
      </c>
      <c r="C111" s="5">
        <v>260</v>
      </c>
      <c r="D111" s="5" t="str">
        <f t="shared" si="9"/>
        <v>Budget friendly</v>
      </c>
      <c r="E111" s="5">
        <f>Table22[[#This Row],[Old price]]-Table22[[#This Row],[Current price]]</f>
        <v>62</v>
      </c>
      <c r="F111" s="19">
        <v>0.24</v>
      </c>
      <c r="G111" s="7" t="str">
        <f t="shared" si="10"/>
        <v>Medium discount</v>
      </c>
      <c r="J111" s="3" t="str">
        <f t="shared" si="11"/>
        <v>Not provided</v>
      </c>
    </row>
    <row r="112" spans="1:10" x14ac:dyDescent="0.35">
      <c r="A112" s="3" t="s">
        <v>105</v>
      </c>
      <c r="B112" s="5">
        <v>1150</v>
      </c>
      <c r="C112" s="5">
        <v>1737</v>
      </c>
      <c r="D112" s="5" t="str">
        <f t="shared" si="9"/>
        <v>Budget friendly</v>
      </c>
      <c r="E112" s="5">
        <f>Table22[[#This Row],[Old price]]-Table22[[#This Row],[Current price]]</f>
        <v>587</v>
      </c>
      <c r="F112" s="19">
        <v>0.34</v>
      </c>
      <c r="G112" s="7" t="str">
        <f t="shared" si="10"/>
        <v>Medium discount</v>
      </c>
      <c r="J112" s="3" t="str">
        <f t="shared" si="11"/>
        <v>Not provided</v>
      </c>
    </row>
    <row r="113" spans="1:10" x14ac:dyDescent="0.35">
      <c r="A113" s="3" t="s">
        <v>106</v>
      </c>
      <c r="B113" s="5">
        <v>1190</v>
      </c>
      <c r="C113" s="5">
        <v>1810</v>
      </c>
      <c r="D113" s="5" t="str">
        <f t="shared" si="9"/>
        <v>Budget friendly</v>
      </c>
      <c r="E113" s="5">
        <f>Table22[[#This Row],[Old price]]-Table22[[#This Row],[Current price]]</f>
        <v>620</v>
      </c>
      <c r="F113" s="19">
        <v>0.34</v>
      </c>
      <c r="G113" s="7" t="str">
        <f t="shared" si="10"/>
        <v>Medium discount</v>
      </c>
      <c r="J113" s="3" t="str">
        <f t="shared" si="11"/>
        <v>Not provided</v>
      </c>
    </row>
    <row r="114" spans="1:10" x14ac:dyDescent="0.35">
      <c r="A114" s="3" t="s">
        <v>107</v>
      </c>
      <c r="B114" s="5">
        <v>1658</v>
      </c>
      <c r="C114" s="5">
        <v>1699</v>
      </c>
      <c r="D114" s="5" t="str">
        <f t="shared" si="9"/>
        <v>Value</v>
      </c>
      <c r="E114" s="5">
        <f>Table22[[#This Row],[Old price]]-Table22[[#This Row],[Current price]]</f>
        <v>41</v>
      </c>
      <c r="F114" s="19">
        <v>0.02</v>
      </c>
      <c r="G114" s="7" t="str">
        <f t="shared" si="10"/>
        <v>Low discount</v>
      </c>
      <c r="J114" s="3" t="str">
        <f t="shared" si="11"/>
        <v>Not provided</v>
      </c>
    </row>
    <row r="115" spans="1:10" x14ac:dyDescent="0.35">
      <c r="A115" s="3" t="s">
        <v>108</v>
      </c>
      <c r="B115" s="5">
        <v>1768</v>
      </c>
      <c r="C115" s="5">
        <v>1799</v>
      </c>
      <c r="D115" s="5" t="str">
        <f t="shared" si="9"/>
        <v>Value</v>
      </c>
      <c r="E115" s="5">
        <f>Table22[[#This Row],[Old price]]-Table22[[#This Row],[Current price]]</f>
        <v>31</v>
      </c>
      <c r="F115" s="19">
        <v>0.02</v>
      </c>
      <c r="G115" s="7" t="str">
        <f t="shared" si="10"/>
        <v>Low discount</v>
      </c>
      <c r="J115" s="3" t="str">
        <f t="shared" si="11"/>
        <v>Not provided</v>
      </c>
    </row>
    <row r="116" spans="1:10" x14ac:dyDescent="0.35">
      <c r="A116" s="3" t="s">
        <v>109</v>
      </c>
      <c r="B116" s="5">
        <v>199</v>
      </c>
      <c r="C116" s="5">
        <v>553</v>
      </c>
      <c r="D116" s="5" t="str">
        <f t="shared" si="9"/>
        <v>Budget friendly</v>
      </c>
      <c r="E116" s="5">
        <f>Table22[[#This Row],[Old price]]-Table22[[#This Row],[Current price]]</f>
        <v>354</v>
      </c>
      <c r="F116" s="19">
        <v>0.64</v>
      </c>
      <c r="G116" s="7" t="str">
        <f t="shared" si="10"/>
        <v>High discount</v>
      </c>
      <c r="J116" s="3" t="str">
        <f t="shared" si="11"/>
        <v>Not provided</v>
      </c>
    </row>
    <row r="117" spans="1:10" x14ac:dyDescent="0.35">
      <c r="A117" s="3" t="s">
        <v>110</v>
      </c>
      <c r="B117" s="5">
        <v>450</v>
      </c>
      <c r="C117" s="5">
        <v>900</v>
      </c>
      <c r="D117" s="5" t="str">
        <f t="shared" si="9"/>
        <v>Budget friendly</v>
      </c>
      <c r="E117" s="5">
        <f>Table22[[#This Row],[Old price]]-Table22[[#This Row],[Current price]]</f>
        <v>450</v>
      </c>
      <c r="F117" s="19">
        <v>0.5</v>
      </c>
      <c r="G117" s="7" t="str">
        <f t="shared" si="10"/>
        <v>High discount</v>
      </c>
      <c r="H117" s="9">
        <v>1</v>
      </c>
      <c r="I117" s="11">
        <v>2</v>
      </c>
      <c r="J117" s="3" t="str">
        <f t="shared" si="11"/>
        <v>Poor</v>
      </c>
    </row>
    <row r="118" spans="1:10" x14ac:dyDescent="0.35">
      <c r="A118" s="3" t="s">
        <v>111</v>
      </c>
      <c r="B118" s="5">
        <v>169</v>
      </c>
      <c r="C118" s="5">
        <v>320</v>
      </c>
      <c r="D118" s="5" t="str">
        <f t="shared" si="9"/>
        <v>Budget friendly</v>
      </c>
      <c r="E118" s="5">
        <f>Table22[[#This Row],[Old price]]-Table22[[#This Row],[Current price]]</f>
        <v>151</v>
      </c>
      <c r="F118" s="19">
        <v>0.47</v>
      </c>
      <c r="G118" s="7" t="str">
        <f t="shared" si="10"/>
        <v>High discount</v>
      </c>
      <c r="J118" s="3" t="str">
        <f t="shared" si="11"/>
        <v>Not provided</v>
      </c>
    </row>
    <row r="119" spans="1:10" x14ac:dyDescent="0.35">
      <c r="A119"/>
      <c r="B119"/>
      <c r="C119"/>
      <c r="H119"/>
      <c r="I119"/>
    </row>
    <row r="120" spans="1:10" x14ac:dyDescent="0.35">
      <c r="A120"/>
      <c r="B120"/>
      <c r="C120"/>
      <c r="H120"/>
      <c r="I120"/>
    </row>
    <row r="121" spans="1:10" ht="15.5" x14ac:dyDescent="0.35">
      <c r="A121" s="12" t="s">
        <v>119</v>
      </c>
      <c r="B121"/>
      <c r="C121"/>
      <c r="H121"/>
      <c r="I121"/>
    </row>
    <row r="122" spans="1:10" x14ac:dyDescent="0.35">
      <c r="A122" s="3" t="s">
        <v>120</v>
      </c>
      <c r="B122" s="5">
        <f>AVERAGE(B7:B118)</f>
        <v>1186.8928571428571</v>
      </c>
      <c r="E122" s="5">
        <f>Table22[[#This Row],[Old price]]-Table22[[#This Row],[Current price]]</f>
        <v>-1186.8928571428571</v>
      </c>
      <c r="G122" s="7" t="str">
        <f>IF(F122&lt;0.2,"Low discount",IF(F122&gt;0.4,"High discount","Medium discount"))</f>
        <v>Low discount</v>
      </c>
      <c r="J122" s="3" t="str">
        <f>IF(ISBLANK(I122),"Not provided",IF(I122&lt;3,"Poor",IF(I122&gt;4.5,"Excellent","Average")))</f>
        <v>Not provided</v>
      </c>
    </row>
    <row r="123" spans="1:10" x14ac:dyDescent="0.35">
      <c r="A123" s="3" t="s">
        <v>121</v>
      </c>
      <c r="B123" s="5">
        <f>AVERAGE(C7:C118)</f>
        <v>1811.1071428571429</v>
      </c>
    </row>
    <row r="124" spans="1:10" x14ac:dyDescent="0.35">
      <c r="A124" s="3" t="s">
        <v>122</v>
      </c>
      <c r="B124" s="13">
        <f>AVERAGE(F7:F118)</f>
        <v>0.36776785714285715</v>
      </c>
    </row>
    <row r="125" spans="1:10" x14ac:dyDescent="0.35">
      <c r="A125" s="3" t="s">
        <v>123</v>
      </c>
      <c r="B125" s="14">
        <f>AVERAGE(I7:I118)</f>
        <v>3.8894736842105258</v>
      </c>
    </row>
    <row r="126" spans="1:10" x14ac:dyDescent="0.35">
      <c r="A126" s="3" t="s">
        <v>124</v>
      </c>
      <c r="B126" s="3" t="s">
        <v>125</v>
      </c>
    </row>
    <row r="127" spans="1:10" x14ac:dyDescent="0.35">
      <c r="A127" s="3" t="s">
        <v>126</v>
      </c>
      <c r="B127" s="15">
        <f>COUNT(H7:H118)</f>
        <v>57</v>
      </c>
    </row>
    <row r="128" spans="1:10" x14ac:dyDescent="0.35">
      <c r="A128" s="3" t="s">
        <v>127</v>
      </c>
      <c r="B128" s="5">
        <f>MAX(B7:B118)</f>
        <v>3750</v>
      </c>
    </row>
    <row r="129" spans="1:2" x14ac:dyDescent="0.35">
      <c r="A129" s="3" t="s">
        <v>128</v>
      </c>
      <c r="B129" s="5">
        <f>MIN(B7:B118)</f>
        <v>38</v>
      </c>
    </row>
  </sheetData>
  <mergeCells count="1">
    <mergeCell ref="A3:XFD3"/>
  </mergeCells>
  <conditionalFormatting sqref="B1:B2 B4:B1048576">
    <cfRule type="cellIs" dxfId="5" priority="5" operator="equal">
      <formula>38</formula>
    </cfRule>
    <cfRule type="cellIs" dxfId="4" priority="6" operator="equal">
      <formula>3750</formula>
    </cfRule>
  </conditionalFormatting>
  <conditionalFormatting sqref="E6:E118">
    <cfRule type="top10" dxfId="3" priority="4" stopIfTrue="1" rank="10"/>
  </conditionalFormatting>
  <conditionalFormatting sqref="F43:F118">
    <cfRule type="top10" dxfId="2" priority="2" stopIfTrue="1" percent="1" rank="10"/>
  </conditionalFormatting>
  <conditionalFormatting sqref="H7:H27">
    <cfRule type="top10" dxfId="1" priority="3" stopIfTrue="1" rank="10"/>
  </conditionalFormatting>
  <conditionalFormatting sqref="I10:I27">
    <cfRule type="top10" dxfId="0" priority="1" stopIfTrue="1" rank="10"/>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1188-C6C2-4A12-9A4F-BB2E1F9E8F23}">
  <dimension ref="A1:C17"/>
  <sheetViews>
    <sheetView zoomScale="70" zoomScaleNormal="70" workbookViewId="0">
      <selection activeCell="J21" sqref="J21"/>
    </sheetView>
  </sheetViews>
  <sheetFormatPr defaultRowHeight="14.5" x14ac:dyDescent="0.35"/>
  <cols>
    <col min="1" max="1" width="67.08984375" bestFit="1" customWidth="1"/>
    <col min="2" max="2" width="20.453125" bestFit="1" customWidth="1"/>
    <col min="3" max="3" width="24" bestFit="1" customWidth="1"/>
    <col min="4" max="4" width="15.54296875" bestFit="1" customWidth="1"/>
    <col min="5" max="5" width="6.7265625" bestFit="1" customWidth="1"/>
    <col min="6" max="6" width="10.7265625" bestFit="1" customWidth="1"/>
  </cols>
  <sheetData>
    <row r="1" spans="1:3" s="30" customFormat="1" ht="15.5" x14ac:dyDescent="0.35">
      <c r="A1" s="30" t="s">
        <v>146</v>
      </c>
    </row>
    <row r="3" spans="1:3" x14ac:dyDescent="0.35">
      <c r="A3" s="16" t="s">
        <v>117</v>
      </c>
      <c r="B3" t="s">
        <v>132</v>
      </c>
    </row>
    <row r="4" spans="1:3" x14ac:dyDescent="0.35">
      <c r="A4" s="16" t="s">
        <v>116</v>
      </c>
      <c r="B4" t="s">
        <v>137</v>
      </c>
    </row>
    <row r="6" spans="1:3" x14ac:dyDescent="0.35">
      <c r="A6" s="16" t="s">
        <v>129</v>
      </c>
      <c r="B6" t="s">
        <v>361</v>
      </c>
      <c r="C6" t="s">
        <v>141</v>
      </c>
    </row>
    <row r="7" spans="1:3" x14ac:dyDescent="0.35">
      <c r="A7" s="17" t="s">
        <v>64</v>
      </c>
      <c r="B7">
        <v>0.49</v>
      </c>
      <c r="C7">
        <v>2.8</v>
      </c>
    </row>
    <row r="8" spans="1:3" x14ac:dyDescent="0.35">
      <c r="A8" s="17" t="s">
        <v>68</v>
      </c>
      <c r="B8">
        <v>0.5</v>
      </c>
      <c r="C8">
        <v>2.2999999999999998</v>
      </c>
    </row>
    <row r="9" spans="1:3" x14ac:dyDescent="0.35">
      <c r="A9" s="17" t="s">
        <v>63</v>
      </c>
      <c r="B9">
        <v>0.55000000000000004</v>
      </c>
      <c r="C9">
        <v>2.1</v>
      </c>
    </row>
    <row r="10" spans="1:3" x14ac:dyDescent="0.35">
      <c r="A10" s="17" t="s">
        <v>74</v>
      </c>
      <c r="B10">
        <v>0.47</v>
      </c>
      <c r="C10">
        <v>2.2000000000000002</v>
      </c>
    </row>
    <row r="11" spans="1:3" x14ac:dyDescent="0.35">
      <c r="A11" s="17" t="s">
        <v>70</v>
      </c>
      <c r="B11">
        <v>0.45</v>
      </c>
      <c r="C11">
        <v>2.6</v>
      </c>
    </row>
    <row r="12" spans="1:3" x14ac:dyDescent="0.35">
      <c r="A12" s="17" t="s">
        <v>67</v>
      </c>
      <c r="B12">
        <v>0.45</v>
      </c>
      <c r="C12">
        <v>2.2000000000000002</v>
      </c>
    </row>
    <row r="13" spans="1:3" x14ac:dyDescent="0.35">
      <c r="A13" s="17" t="s">
        <v>75</v>
      </c>
      <c r="B13">
        <v>0.47</v>
      </c>
      <c r="C13">
        <v>2.1</v>
      </c>
    </row>
    <row r="14" spans="1:3" x14ac:dyDescent="0.35">
      <c r="A14" s="17" t="s">
        <v>65</v>
      </c>
      <c r="B14">
        <v>0.52</v>
      </c>
      <c r="C14">
        <v>2.7</v>
      </c>
    </row>
    <row r="15" spans="1:3" x14ac:dyDescent="0.35">
      <c r="A15" s="17" t="s">
        <v>110</v>
      </c>
      <c r="B15">
        <v>0.5</v>
      </c>
      <c r="C15">
        <v>2</v>
      </c>
    </row>
    <row r="16" spans="1:3" x14ac:dyDescent="0.35">
      <c r="A16" s="17" t="s">
        <v>72</v>
      </c>
      <c r="B16">
        <v>0.43</v>
      </c>
      <c r="C16">
        <v>2.2999999999999998</v>
      </c>
    </row>
    <row r="17" spans="1:3" x14ac:dyDescent="0.35">
      <c r="A17" s="17" t="s">
        <v>130</v>
      </c>
      <c r="B17">
        <v>0.48299999999999998</v>
      </c>
      <c r="C17">
        <v>2.33</v>
      </c>
    </row>
  </sheetData>
  <mergeCells count="1">
    <mergeCell ref="A1:XFD1"/>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9359B-D086-48CC-9C50-76351E308997}">
  <dimension ref="A1:C11"/>
  <sheetViews>
    <sheetView zoomScale="77" zoomScaleNormal="77" workbookViewId="0">
      <selection activeCell="C26" sqref="C26"/>
    </sheetView>
  </sheetViews>
  <sheetFormatPr defaultRowHeight="14.5" x14ac:dyDescent="0.35"/>
  <cols>
    <col min="1" max="1" width="49.08984375" bestFit="1" customWidth="1"/>
    <col min="2" max="2" width="13.08984375" bestFit="1" customWidth="1"/>
    <col min="3" max="3" width="24" bestFit="1" customWidth="1"/>
  </cols>
  <sheetData>
    <row r="1" spans="1:3" s="30" customFormat="1" ht="15.5" x14ac:dyDescent="0.35">
      <c r="A1" s="30" t="s">
        <v>145</v>
      </c>
    </row>
    <row r="2" spans="1:3" s="28" customFormat="1" x14ac:dyDescent="0.35"/>
    <row r="3" spans="1:3" x14ac:dyDescent="0.35">
      <c r="A3" s="16" t="s">
        <v>116</v>
      </c>
      <c r="B3" t="s">
        <v>136</v>
      </c>
    </row>
    <row r="5" spans="1:3" x14ac:dyDescent="0.35">
      <c r="A5" s="16" t="s">
        <v>129</v>
      </c>
      <c r="B5" t="s">
        <v>144</v>
      </c>
      <c r="C5" t="s">
        <v>141</v>
      </c>
    </row>
    <row r="6" spans="1:3" x14ac:dyDescent="0.35">
      <c r="A6" s="17" t="s">
        <v>14</v>
      </c>
      <c r="B6">
        <v>39</v>
      </c>
      <c r="C6">
        <v>4.7</v>
      </c>
    </row>
    <row r="7" spans="1:3" x14ac:dyDescent="0.35">
      <c r="A7" s="17" t="s">
        <v>9</v>
      </c>
      <c r="B7">
        <v>55</v>
      </c>
      <c r="C7">
        <v>4.5999999999999996</v>
      </c>
    </row>
    <row r="8" spans="1:3" x14ac:dyDescent="0.35">
      <c r="A8" s="17" t="s">
        <v>22</v>
      </c>
      <c r="B8">
        <v>44</v>
      </c>
      <c r="C8">
        <v>4.5999999999999996</v>
      </c>
    </row>
    <row r="9" spans="1:3" x14ac:dyDescent="0.35">
      <c r="A9" s="17" t="s">
        <v>28</v>
      </c>
      <c r="B9">
        <v>49</v>
      </c>
      <c r="C9">
        <v>4.5999999999999996</v>
      </c>
    </row>
    <row r="10" spans="1:3" x14ac:dyDescent="0.35">
      <c r="A10" s="17" t="s">
        <v>5</v>
      </c>
      <c r="B10">
        <v>24</v>
      </c>
      <c r="C10">
        <v>4.5999999999999996</v>
      </c>
    </row>
    <row r="11" spans="1:3" x14ac:dyDescent="0.35">
      <c r="A11" s="17" t="s">
        <v>130</v>
      </c>
      <c r="B11">
        <v>211</v>
      </c>
      <c r="C11">
        <v>4.62</v>
      </c>
    </row>
  </sheetData>
  <mergeCells count="2">
    <mergeCell ref="A1:XFD1"/>
    <mergeCell ref="A2:XFD2"/>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8BDAECE-7945-4C46-9351-AB8C3C1674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Cleaned data</vt:lpstr>
      <vt:lpstr>Dashboard</vt:lpstr>
      <vt:lpstr>Discount vs Reviews</vt:lpstr>
      <vt:lpstr>Rating vs Reviews</vt:lpstr>
      <vt:lpstr>Price vs Rating</vt:lpstr>
      <vt:lpstr>Top 10 reviews, discounts </vt:lpstr>
      <vt:lpstr>Top,Bottom rated products</vt:lpstr>
      <vt:lpstr>Product Perfromance Analysis</vt:lpstr>
      <vt:lpstr>High discount,low rating pdts</vt:lpstr>
      <vt:lpstr>Product customer engagement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Malaika Musee</dc:creator>
  <cp:lastModifiedBy>Malaika Musee</cp:lastModifiedBy>
  <dcterms:created xsi:type="dcterms:W3CDTF">2026-09-09T10:02:33Z</dcterms:created>
  <dcterms:modified xsi:type="dcterms:W3CDTF">2026-09-22T10:22:13Z</dcterms:modified>
</cp:coreProperties>
</file>